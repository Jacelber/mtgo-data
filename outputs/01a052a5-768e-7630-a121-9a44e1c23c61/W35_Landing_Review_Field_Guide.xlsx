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l\crawlerpj\.codex-workspaces\w35-stats-visual-metadata-recovery-20260902-01\outputs\01a052a5-768e-7630-a121-9a44e1c23c61\"/>
    </mc:Choice>
  </mc:AlternateContent>
  <bookViews>
    <workbookView windowHeight="17680" activeTab="1"/>
  </bookViews>
  <sheets>
    <sheet name="Review Control" sheetId="1" r:id="rId1"/>
    <sheet name="Landing Copy" sheetId="2" r:id="rId2"/>
    <sheet name="Featured Decks" sheetId="3" r:id="rId3"/>
    <sheet name="All Top 8" sheetId="4" r:id="rId4"/>
    <sheet name="Field Guid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<sst xmlns="http://schemas.openxmlformats.org/spreadsheetml/2006/main" count="3082" uniqueCount="1167">
  <si>
    <t>2026-W35 · Landing Review Control · five-sheet Field Guide contract</t>
  </si>
  <si>
    <t>本文件只准备本周 Landing 审查材料，不代表任何内容已经获批。蓝色为机器冻结事实，黄色为您填写或确认的字段，绿色为 Codex 草稿。提交后先做中文阶段校验；英文阶段另行确认。</t>
  </si>
  <si>
    <t>Format</t>
  </si>
  <si>
    <t>Week</t>
  </si>
  <si>
    <t>Review Scope</t>
  </si>
  <si>
    <t>Chinese Stage</t>
  </si>
  <si>
    <t>Machine Contract</t>
  </si>
  <si>
    <t>English Stage</t>
  </si>
  <si>
    <t>standard</t>
  </si>
  <si>
    <t>2026-W35</t>
  </si>
  <si>
    <t>6 events · 48 Top 8 · 10 machine candidates</t>
  </si>
  <si>
    <t>ONE CHAT SUBMISSION</t>
  </si>
  <si>
    <t>validate-xlsx · chinese</t>
  </si>
  <si>
    <t>ONE LATER CHAT ACCEPTANCE</t>
  </si>
  <si>
    <t>modern</t>
  </si>
  <si>
    <t>15 events · 120 Top 8 · 9 machine candidates</t>
  </si>
  <si>
    <t>Frozen baseline &amp; calculated completeness</t>
  </si>
  <si>
    <t>Metric</t>
  </si>
  <si>
    <t>Result</t>
  </si>
  <si>
    <t>Meaning</t>
  </si>
  <si>
    <t>Review subject</t>
  </si>
  <si>
    <t>本次工作簿的周次</t>
  </si>
  <si>
    <t>Standard machine-fact digest</t>
  </si>
  <si>
    <t>2b641981af56e89a2662c8e70e01596ae7a90c9e2c898388adf9826adaa1aa42</t>
  </si>
  <si>
    <t>冻结 Standard 候选事实</t>
  </si>
  <si>
    <t>Modern machine-fact digest</t>
  </si>
  <si>
    <t>ac3b6e0d025aa13d487a03808d56336d8a7d8b2b7fb2a5e789d5a39abb7e2f2a</t>
  </si>
  <si>
    <t>冻结 Modern 候选事实</t>
  </si>
  <si>
    <t>Standard candidates</t>
  </si>
  <si>
    <t>机器提示，不是主推或批准</t>
  </si>
  <si>
    <t>Modern candidates</t>
  </si>
  <si>
    <t>All Top 8 rows</t>
  </si>
  <si>
    <t>所有可供追加的本周八强牌表</t>
  </si>
  <si>
    <t>KEEP top-copy rows</t>
  </si>
  <si>
    <t>Landing Copy 中选择 KEEP 的行数</t>
  </si>
  <si>
    <t>KEEP featured decks</t>
  </si>
  <si>
    <t>Featured Decks 中选择 KEEP 的牌表数</t>
  </si>
  <si>
    <t>Selected features needing Chinese input</t>
  </si>
  <si>
    <t>KEEP 行中中文字段尚未完整的数量</t>
  </si>
  <si>
    <t>Kept top-copy rows missing Chinese</t>
  </si>
  <si>
    <t>KEEP 顶端文案中中文正文为空的数量</t>
  </si>
  <si>
    <t>Workbook stage</t>
  </si>
  <si>
    <t>PREPARED · NOT REVIEWED</t>
  </si>
  <si>
    <t>未导入、未发布、未运行 Pages</t>
  </si>
  <si>
    <t>2026-W35 · Landing Copy · Chinese review starts here</t>
  </si>
  <si>
    <t>使用 KEEP 的行才会进入 Landing 顶端文字。请先完成中文正文；如需链接牌表，正文中必须使用下方精确 deck:20位ID，并把同一牌表在 Featured Decks 标记为 KEEP。英文草稿会在中文确认后生成。</t>
  </si>
  <si>
    <t>Review Result</t>
  </si>
  <si>
    <t>Order</t>
  </si>
  <si>
    <t>Chinese Copy</t>
  </si>
  <si>
    <t>English Draft</t>
  </si>
  <si>
    <t>English Final</t>
  </si>
  <si>
    <t>KEEP</t>
  </si>
  <si>
    <r>
      <t>本周标准地落依旧独占鳌头，两项占比都来到了</t>
    </r>
    <r>
      <rPr>
        <sz val="10"/>
        <color rgb="FF243746"/>
        <rFont val="Carlito"/>
        <charset val="134"/>
      </rPr>
      <t>30%</t>
    </r>
    <r>
      <rPr>
        <sz val="10"/>
        <color rgb="FF243746"/>
        <rFont val="宋体"/>
        <charset val="134"/>
      </rPr>
      <t>以上，巨幅领先第二名的蓝黑中速。不过之后的第二梯队涌现了很多新面孔，除了地落的数据有些失控之外，整体环境还算开放。除了上周介绍过的新版小黑之外，</t>
    </r>
    <r>
      <rPr>
        <sz val="10"/>
        <color rgb="FF243746"/>
        <rFont val="Carlito"/>
        <charset val="134"/>
      </rPr>
      <t>HOB</t>
    </r>
    <r>
      <rPr>
        <sz val="10"/>
        <color rgb="FF243746"/>
        <rFont val="宋体"/>
        <charset val="134"/>
      </rPr>
      <t>矮人</t>
    </r>
    <r>
      <rPr>
        <sz val="10"/>
        <color rgb="FF243746"/>
        <rFont val="Carlito"/>
        <charset val="134"/>
      </rPr>
      <t>+</t>
    </r>
    <r>
      <rPr>
        <sz val="10"/>
        <color rgb="FF243746"/>
        <rFont val="宋体"/>
        <charset val="134"/>
      </rPr>
      <t>武具思路的矮人套牌本周两项占比也都可以超过</t>
    </r>
    <r>
      <rPr>
        <sz val="10"/>
        <color rgb="FF243746"/>
        <rFont val="Carlito"/>
        <charset val="134"/>
      </rPr>
      <t>5%</t>
    </r>
    <r>
      <rPr>
        <sz val="10"/>
        <color rgb="FF243746"/>
        <rFont val="宋体"/>
        <charset val="134"/>
      </rPr>
      <t>：deck:ccd8c0e396b0f9bf2338</t>
    </r>
  </si>
  <si>
    <t/>
  </si>
  <si>
    <r>
      <t>禁牌前就曾经出现过，但曾经一度被打没的思路，最近也开始重新涌现：</t>
    </r>
    <r>
      <rPr>
        <sz val="10"/>
        <color rgb="FF243746"/>
        <rFont val="Carlito"/>
        <charset val="134"/>
      </rPr>
      <t>EOE</t>
    </r>
    <r>
      <rPr>
        <sz val="10"/>
        <color rgb="FF243746"/>
        <rFont val="宋体"/>
        <charset val="134"/>
      </rPr>
      <t>、</t>
    </r>
    <r>
      <rPr>
        <sz val="10"/>
        <color rgb="FF243746"/>
        <rFont val="Carlito"/>
        <charset val="134"/>
      </rPr>
      <t>TMT</t>
    </r>
    <r>
      <rPr>
        <sz val="10"/>
        <color rgb="FF243746"/>
        <rFont val="宋体"/>
        <charset val="134"/>
      </rPr>
      <t>神器为核心的共鸣deck:8f7c4d0eeef49d894520；经典融合仪洁斯凯神器deck:b65e7c596ec9a1c79648；经典班特截气deck:9c0f1669a41d46933d8a；还有毒镖蛙哥的地脉红蓝deck:8fdac0a6194558e83efc，这些套牌本周都有席卷。</t>
    </r>
  </si>
  <si>
    <t>还有满编截水师水袋的蓝白控拿下四强deck:ec57ff967da37ccf91b7；类似之前席卷RC的苏勒台拷打魔拿下八强deck:0c06019f86999a574c2a。</t>
  </si>
  <si>
    <t>本周摩登Magic Spotlight的数据请在上方实体大赛的标签中查看。包含占比、转化率以及对阵胜率矩阵。</t>
  </si>
  <si>
    <t>包括MTGO在内，摩登整体环境还是相当开放，没有任何一套牌能拿出明显好于其他套牌的稳定表现。</t>
  </si>
  <si>
    <t>Machine-candidate deck references available in this sheet</t>
  </si>
  <si>
    <t>Role</t>
  </si>
  <si>
    <t>Feature Week</t>
  </si>
  <si>
    <t>Chinese Display</t>
  </si>
  <si>
    <t>English Display</t>
  </si>
  <si>
    <t>Deck Page</t>
  </si>
  <si>
    <t>Event</t>
  </si>
  <si>
    <t>Date</t>
  </si>
  <si>
    <t>Rank</t>
  </si>
  <si>
    <t>Deck</t>
  </si>
  <si>
    <t>Player</t>
  </si>
  <si>
    <t>Deck Link ID</t>
  </si>
  <si>
    <t>MACHINE CANDIDATE</t>
  </si>
  <si>
    <t>共鸣 · Aldreen · 第1名</t>
  </si>
  <si>
    <t>Affinity · Aldreen · Rank 1</t>
  </si>
  <si>
    <t>https://jacelber.github.io/mtgo-data/index.html?format=standard&amp;product=mtgo-top8&amp;week=2026-W35&amp;detail=12853170%3A1&amp;lang=zh</t>
  </si>
  <si>
    <t>Standard Challenge 16 · 12853170</t>
  </si>
  <si>
    <t>2026-08-27</t>
  </si>
  <si>
    <t>Affinity</t>
  </si>
  <si>
    <t>Aldreen</t>
  </si>
  <si>
    <t>deck:8f7c4d0eeef49d894520</t>
  </si>
  <si>
    <t>纯绿地落 · MatheusPonciano · 第1名</t>
  </si>
  <si>
    <t>Mono-Green Landfall · MatheusPonciano · Rank 1</t>
  </si>
  <si>
    <t>https://jacelber.github.io/mtgo-data/index.html?format=standard&amp;product=mtgo-top8&amp;week=2026-W35&amp;detail=12852766%3A1&amp;lang=zh</t>
  </si>
  <si>
    <t>Standard Challenge 32 · 12852766</t>
  </si>
  <si>
    <t>2026-08-24</t>
  </si>
  <si>
    <t>Mono-Green Landfall</t>
  </si>
  <si>
    <t>MatheusPonciano</t>
  </si>
  <si>
    <t>deck:2e7fadb9eeb308e0ee63</t>
  </si>
  <si>
    <t>蓝黑中速 · Kako_Ferrer · 第2名</t>
  </si>
  <si>
    <t>Dimir Midrange · Kako_Ferrer · Rank 2</t>
  </si>
  <si>
    <t>https://jacelber.github.io/mtgo-data/index.html?format=standard&amp;product=mtgo-top8&amp;week=2026-W35&amp;detail=12853183%3A2&amp;lang=zh</t>
  </si>
  <si>
    <t>Standard Challenge 32 · 12853183</t>
  </si>
  <si>
    <t>2026-08-28</t>
  </si>
  <si>
    <t>Dimir Midrange</t>
  </si>
  <si>
    <t>Kako_Ferrer</t>
  </si>
  <si>
    <t>deck:c121c96f31fa68891e4c</t>
  </si>
  <si>
    <t>四色石板 · B-Carp · 第2名</t>
  </si>
  <si>
    <t>4-Color Tablet · B-Carp · Rank 2</t>
  </si>
  <si>
    <t>https://jacelber.github.io/mtgo-data/index.html?format=standard&amp;product=mtgo-top8&amp;week=2026-W35&amp;detail=12852775%3A2&amp;lang=zh</t>
  </si>
  <si>
    <t>Standard Challenge 32 · 12852775</t>
  </si>
  <si>
    <t>2026-08-25</t>
  </si>
  <si>
    <t>4-Color Tablet</t>
  </si>
  <si>
    <t>B-Carp</t>
  </si>
  <si>
    <t>deck:ffdc0b8f7addde986b68</t>
  </si>
  <si>
    <t>白绿地落 · LucasG1ggs · 第4名</t>
  </si>
  <si>
    <t>Selesnya Landfall · LucasG1ggs · Rank 4</t>
  </si>
  <si>
    <t>https://jacelber.github.io/mtgo-data/index.html?format=standard&amp;product=mtgo-top8&amp;week=2026-W35&amp;detail=12852775%3A4&amp;lang=zh</t>
  </si>
  <si>
    <t>Selesnya Landfall</t>
  </si>
  <si>
    <t>LucasG1ggs</t>
  </si>
  <si>
    <t>deck:6a7bd2cb191b0251bbe6</t>
  </si>
  <si>
    <t>纯绿地落 · Thalai · 第5名</t>
  </si>
  <si>
    <t>Mono-Green Landfall · Thalai · Rank 5</t>
  </si>
  <si>
    <t>https://jacelber.github.io/mtgo-data/index.html?format=standard&amp;product=mtgo-top8&amp;week=2026-W35&amp;detail=12852775%3A5&amp;lang=zh</t>
  </si>
  <si>
    <t>Thalai</t>
  </si>
  <si>
    <t>deck:8deacbfdb5cd51b44019</t>
  </si>
  <si>
    <t>黑白回血 · Gxs3v3n · 第6名</t>
  </si>
  <si>
    <t>Orzhov Lifegain · Gxs3v3n · Rank 6</t>
  </si>
  <si>
    <t>https://jacelber.github.io/mtgo-data/index.html?format=standard&amp;product=mtgo-top8&amp;week=2026-W35&amp;detail=12852775%3A6&amp;lang=zh</t>
  </si>
  <si>
    <t>Orzhov Lifegain</t>
  </si>
  <si>
    <t>Gxs3v3n</t>
  </si>
  <si>
    <t>deck:3a942d34c46e347f080e</t>
  </si>
  <si>
    <t>蓝黑拷打魔 · Scappie · 第6名</t>
  </si>
  <si>
    <t>Dimir Excruciator · Scappie · Rank 6</t>
  </si>
  <si>
    <t>https://jacelber.github.io/mtgo-data/index.html?format=standard&amp;product=mtgo-top8&amp;week=2026-W35&amp;detail=12853183%3A6&amp;lang=zh</t>
  </si>
  <si>
    <t>Dimir Excruciator</t>
  </si>
  <si>
    <t>Scappie</t>
  </si>
  <si>
    <t>deck:0c06019f86999a574c2a</t>
  </si>
  <si>
    <t>红白龙 · WadeB · 第8名</t>
  </si>
  <si>
    <t>Boros Dragons · WadeB · Rank 8</t>
  </si>
  <si>
    <t>https://jacelber.github.io/mtgo-data/index.html?format=standard&amp;product=mtgo-top8&amp;week=2026-W35&amp;detail=12852766%3A8&amp;lang=zh</t>
  </si>
  <si>
    <t>Boros Dragons</t>
  </si>
  <si>
    <t>WadeB</t>
  </si>
  <si>
    <t>deck:e12a618c9b3db9190181</t>
  </si>
  <si>
    <t>蓝黑中速 · unagieel · 第8名</t>
  </si>
  <si>
    <t>Dimir Midrange · unagieel · Rank 8</t>
  </si>
  <si>
    <t>https://jacelber.github.io/mtgo-data/index.html?format=standard&amp;product=mtgo-top8&amp;week=2026-W35&amp;detail=12853170%3A8&amp;lang=zh</t>
  </si>
  <si>
    <t>unagieel</t>
  </si>
  <si>
    <t>deck:6857032a6b453789ac89</t>
  </si>
  <si>
    <t>柯希斯组合技 · GreyChroma · 第7名</t>
  </si>
  <si>
    <t>Kethis Combo · GreyChroma · Rank 7</t>
  </si>
  <si>
    <t>https://jacelber.github.io/mtgo-data/index.html?format=modern&amp;product=mtgo-top8&amp;week=2026-W35&amp;detail=12852770%3A7&amp;lang=zh</t>
  </si>
  <si>
    <t>Modern Challenge 16 · 12852770</t>
  </si>
  <si>
    <t>Kethis Combo</t>
  </si>
  <si>
    <t>GreyChroma</t>
  </si>
  <si>
    <t>deck:9486019b737c42ce2432</t>
  </si>
  <si>
    <t>红蓝灵技 · BressD1 · 第2名</t>
  </si>
  <si>
    <t>Prowess · BressD1 · Rank 2</t>
  </si>
  <si>
    <t>https://jacelber.github.io/mtgo-data/index.html?format=modern&amp;product=mtgo-top8&amp;week=2026-W35&amp;detail=12853181%3A2&amp;lang=zh</t>
  </si>
  <si>
    <t>Modern Challenge 64 · 12853181</t>
  </si>
  <si>
    <t>Prowess</t>
  </si>
  <si>
    <t>BressD1</t>
  </si>
  <si>
    <t>deck:99cd644582d6e5ea7113</t>
  </si>
  <si>
    <t>纯绿孳巢蜥 · HelpfulHobo · 第2名</t>
  </si>
  <si>
    <t>Broodscale Combo · HelpfulHobo · Rank 2</t>
  </si>
  <si>
    <t>https://jacelber.github.io/mtgo-data/index.html?format=modern&amp;product=mtgo-top8&amp;week=2026-W35&amp;detail=12853197%3A2&amp;lang=zh</t>
  </si>
  <si>
    <t>Modern Challenge 64 · 12853197</t>
  </si>
  <si>
    <t>2026-08-30</t>
  </si>
  <si>
    <t>Broodscale Combo</t>
  </si>
  <si>
    <t>HelpfulHobo</t>
  </si>
  <si>
    <t>deck:bbf9bebc5ca1ad0b5077</t>
  </si>
  <si>
    <t>苏勒台走骨 · RNicoF · 第3名</t>
  </si>
  <si>
    <t>Living End · RNicoF · Rank 3</t>
  </si>
  <si>
    <t>https://jacelber.github.io/mtgo-data/index.html?format=modern&amp;product=mtgo-top8&amp;week=2026-W35&amp;detail=12853160%3A3&amp;lang=zh</t>
  </si>
  <si>
    <t>Modern Challenge 32 · 12853160</t>
  </si>
  <si>
    <t>2026-08-26</t>
  </si>
  <si>
    <t>Living End</t>
  </si>
  <si>
    <t>RNicoF</t>
  </si>
  <si>
    <t>deck:d04a50db62a0cc957b4c</t>
  </si>
  <si>
    <t>领土动物园 · Pleyboy · 第5名</t>
  </si>
  <si>
    <t>Domain Zoo · Pleyboy · Rank 5</t>
  </si>
  <si>
    <t>https://jacelber.github.io/mtgo-data/index.html?format=modern&amp;product=mtgo-top8&amp;week=2026-W35&amp;detail=12853192%3A5&amp;lang=zh</t>
  </si>
  <si>
    <t>Modern Challenge 64 · 12853192</t>
  </si>
  <si>
    <t>2026-08-29</t>
  </si>
  <si>
    <t>Domain Zoo</t>
  </si>
  <si>
    <t>Pleyboy</t>
  </si>
  <si>
    <t>deck:90e095df85eb0e7931a2</t>
  </si>
  <si>
    <t>共鸣 · levelerlover · 第6名</t>
  </si>
  <si>
    <t>Affinity · levelerlover · Rank 6</t>
  </si>
  <si>
    <t>https://jacelber.github.io/mtgo-data/index.html?format=modern&amp;product=mtgo-top8&amp;week=2026-W35&amp;detail=12853163%3A6&amp;lang=zh</t>
  </si>
  <si>
    <t>Modern Showcase Challenge · 12853163</t>
  </si>
  <si>
    <t>levelerlover</t>
  </si>
  <si>
    <t>deck:0ad33725d099eda2f8a1</t>
  </si>
  <si>
    <t>阿布赞缓伤 · mtwhet · 第6名</t>
  </si>
  <si>
    <t>Devoted Druid Combo · mtwhet · Rank 6</t>
  </si>
  <si>
    <t>https://jacelber.github.io/mtgo-data/index.html?format=modern&amp;product=mtgo-top8&amp;week=2026-W35&amp;detail=12853181%3A6&amp;lang=zh</t>
  </si>
  <si>
    <t>Devoted Druid Combo</t>
  </si>
  <si>
    <t>mtwhet</t>
  </si>
  <si>
    <t>deck:fe3aefc062954429a0d9</t>
  </si>
  <si>
    <t>红宝石风暴 · IrIWANG · 第6名</t>
  </si>
  <si>
    <t>Ruby Storm · IrIWANG · Rank 6</t>
  </si>
  <si>
    <t>https://jacelber.github.io/mtgo-data/index.html?format=modern&amp;product=mtgo-top8&amp;week=2026-W35&amp;detail=12853192%3A6&amp;lang=zh</t>
  </si>
  <si>
    <t>Ruby Storm</t>
  </si>
  <si>
    <t>IrIWANG</t>
  </si>
  <si>
    <t>deck:bfb787823ff21756ca53</t>
  </si>
  <si>
    <t>艾斯波云移 · medvedev · 第8名</t>
  </si>
  <si>
    <t>Esper Blink · medvedev · Rank 8</t>
  </si>
  <si>
    <t>https://jacelber.github.io/mtgo-data/index.html?format=modern&amp;product=mtgo-top8&amp;week=2026-W35&amp;detail=12853187%3A8&amp;lang=zh</t>
  </si>
  <si>
    <t>Modern Challenge 16 · 12853187</t>
  </si>
  <si>
    <t>Esper Blink</t>
  </si>
  <si>
    <t>medvedev</t>
  </si>
  <si>
    <t>deck:cafd6500379b105050e6</t>
  </si>
  <si>
    <t>2026-W35 · Featured Decks · 19 machine candidates</t>
  </si>
  <si>
    <t>机器候选没有预设主推项。Selection 为空表示等待判断；只有 KEEP 行会进入 Landing。Category 是机器建议但仍由您确认，中文定位与四张代表牌仅在决定 KEEP 后需要填写。</t>
  </si>
  <si>
    <t>Selection</t>
  </si>
  <si>
    <t>Category</t>
  </si>
  <si>
    <t>Deck Name EN</t>
  </si>
  <si>
    <t>Deck Name ZH</t>
  </si>
  <si>
    <t>Name Status</t>
  </si>
  <si>
    <t>Machine Reasons</t>
  </si>
  <si>
    <t>Chinese Positioning</t>
  </si>
  <si>
    <t>Featured Card 1</t>
  </si>
  <si>
    <t>Featured Card 2</t>
  </si>
  <si>
    <t>Featured Card 3</t>
  </si>
  <si>
    <t>Featured Card 4</t>
  </si>
  <si>
    <t>Main Deck</t>
  </si>
  <si>
    <t>Sideboard</t>
  </si>
  <si>
    <t>Chinese / Input Check</t>
  </si>
  <si>
    <t>English Check</t>
  </si>
  <si>
    <t>Parent ID</t>
  </si>
  <si>
    <t>Subtype ID</t>
  </si>
  <si>
    <t>Identity Key</t>
  </si>
  <si>
    <t>new_deck</t>
  </si>
  <si>
    <t>共鸣</t>
  </si>
  <si>
    <t>APPROVED</t>
  </si>
  <si>
    <t>New archetype · prior records under current classifier: 0</t>
  </si>
  <si>
    <t>曾经一瞬出现在环境中的共鸣套牌复活，本周席卷一场</t>
  </si>
  <si>
    <t>2 Castle Doom · 4 Dusk Rose Reliquary · 2 Fomori Vault · 4 Giant's Boulder · 1 Improvised Arsenal · 1 Island · 2 Krang, Master Mind · 3 Merata, Neuron Hacker · 1 Mountain · 1 Multiversal Passage · 4 Pinnacle Emissary · 3 Quantum Riddler · 4 Ravenous Robots · 1 Riverpyre Verge · 2 Rust Harvester · 1 Skateboard · 1 Soul-Guide Lantern · 3 Spirebluff Canal · 4 Springleaf Drum · 4 Starting Town · 4 Steam Vents · 2 Tezzeret, Cruel Captain · 2 The Enigma Jewel · 1 The Ooze · 3 Uthros, Titanic Godcore</t>
  </si>
  <si>
    <t>2 Disdainful Stroke · 2 Flashfreeze · 2 Grim Bauble · 1 Quantum Riddler · 3 Soul-Guide Lantern · 2 The Ooze · 3 Torch the Tower</t>
  </si>
  <si>
    <t>affinity</t>
  </si>
  <si>
    <t>standard/affinity/none</t>
  </si>
  <si>
    <t>new_technology</t>
  </si>
  <si>
    <t>纯绿地落</t>
  </si>
  <si>
    <t>High-score share 17.1% → 30.7% (+13.62pp)</t>
  </si>
  <si>
    <t>4 Ba Sing Se · 2 Demolition Field · 4 Earthbender Ascension · 3 Escape Tunnel · 4 Esper Origins · 4 Fabled Passage · 13 Forest · 4 Icetill Explorer · 2 Keen-Eyed Curator · 4 Llanowar Elves · 1 Lumbering Worldwagon · 2 Meltstrider's Resolve · 3 Mightform Harmonizer · 3 Sapling Nursery · 4 Sazh's Chocobo · 2 Shared Roots · 1 Surrak, Elusive Hunter</t>
  </si>
  <si>
    <t>1 Ghost Vacuum · 1 Leatherhead, Swamp Stalker · 2 Meltstrider's Resolve · 4 Mossborn Hydra · 2 Origin of Metalbending · 1 Sapling Nursery · 1 Soul-Guide Lantern · 1 Surrak, Elusive Hunter · 2 Torpor Orb</t>
  </si>
  <si>
    <t>mono-green-landfall</t>
  </si>
  <si>
    <t>standard/mono-green-landfall/none</t>
  </si>
  <si>
    <t>蓝黑中速</t>
  </si>
  <si>
    <t>High-score share 7.4% → 13.2% (+5.76pp)</t>
  </si>
  <si>
    <t>2 Bitter Triumph · 4 Dream Beavers · 4 Enduring Curiosity · 4 Floodpits Drowner · 4 Gloomlake Verge · 3 Hidden Lair · 4 Island · 4 Kaito, Bane of Nightmares · 3 Requiting Hex · 2 Restless Reef · 2 Shoot the Sheriff · 2 Soulstone Sanctuary · 2 Spell Pierce · 4 Spyglass Siren · 1 Strategic Betrayal · 4 Swamp · 2 The Wondrous Wasp · 1 Tishana's Tidebinder · 2 Wan Shi Tong, Librarian · 4 Watery Grave · 2 We Say Thee Nay!</t>
  </si>
  <si>
    <t>1 Annul · 2 Day of Black Sun · 3 Duress · 2 Flashfreeze · 1 Spell Snare · 2 Strategic Betrayal · 2 Torpor Orb · 2 Vren, the Relentless</t>
  </si>
  <si>
    <t>dimir-midrange</t>
  </si>
  <si>
    <t>standard/dimir-midrange/none</t>
  </si>
  <si>
    <t>四色石板</t>
  </si>
  <si>
    <t>Build shift score 35 · reference sample 62 · more: Steam Vents 4 vs 2.3, Gloomlake Verge 2 vs 0.8, No More Lies 2 vs 0.8, Day of Judgment 2 vs 0.9 · fewer: Blood Crypt 0 vs 2.3, Riverpyre Verge 0 vs 1.8, Bleachbone Verge 0 vs 1.7, Deadly Cover-Up 0 vs 1.2</t>
  </si>
  <si>
    <t>2 Consult the Star Charts · 1 Cori Mountain Monastery · 2 Day of Judgment · 2 Firebending Lesson · 2 Flashback · 2 Gloomlake Verge · 1 Godless Shrine · 4 Great Hall of the Biblioplex · 2 Hallowed Fountain · 4 Inevitable Defeat · 1 Island · 4 Jeskai Revelation · 1 Lightning Helix · 1 Meticulous Archive · 1 Mistrise Village · 1 Multiversal Passage · 1 Negate · 2 No More Lies · 1 North Wind Avatar · 1 Plains · 3 Sacred Foundry · 2 Sear · 2 Shattered Sanctum · 4 Steam Vents · 4 Stock Up · 1 Stormcarved Coast · 1 Sunbillow Verge · 1 Sundown Pass · 4 Tablet of Discovery · 2 Together as One</t>
  </si>
  <si>
    <t>1 Ancient Vendetta · 1 Day of Judgment · 1 Disdainful Stroke · 2 Emeritus of Ideation · 2 Flashfreeze · 1 Negate · 1 Outrageous Robbery · 1 Petrified Hamlet · 1 Riverchurn Monument · 1 Spell Snare · 1 Sphinx of the Final Word · 2 Strategic Betrayal</t>
  </si>
  <si>
    <t>4-color-tablet</t>
  </si>
  <si>
    <t>standard/4-color-tablet/none</t>
  </si>
  <si>
    <t>白绿地落</t>
  </si>
  <si>
    <t>Build shift score 29 · reference sample 13 · more: Forest 11 vs 8.5, Esper Origins 3 vs 0.5, Shared Roots 2 vs 0.4, Mossborn Hydra 3 vs 1.5 · fewer: Plains 0 vs 2.0, Badgermole Cub 0 vs 1.8, Keen-Eyed Curator 0 vs 1.4, Snakeskin Veil 0 vs 1.1</t>
  </si>
  <si>
    <t>3 Ba Sing Se · 2 Dyadrine, Synthesis Amalgam · 4 Earthbender Ascension · 4 Erode · 3 Escape Tunnel · 3 Esper Origins · 4 Fabled Passage · 11 Forest · 1 Hushwood Verge · 4 Icetill Explorer · 4 Llanowar Elves · 4 Mightform Harmonizer · 3 Mossborn Hydra · 4 Sazh's Chocobo · 2 Shared Roots · 4 Temple Garden</t>
  </si>
  <si>
    <t>1 Mossborn Hydra · 2 Rest in Peace · 4 Sapling Nursery · 4 Sheltered by Ghosts · 2 Surrak, Elusive Hunter · 2 Torpor Orb</t>
  </si>
  <si>
    <t>selesnya-landfall</t>
  </si>
  <si>
    <t>standard/selesnya-landfall/none</t>
  </si>
  <si>
    <t>Build shift score 20 · reference sample 138 · more: Mossborn Hydra 4 vs 0.7, Bushwhack 3 vs 0.0, Shared Roots 3 vs 0.8, Bristly Bill, Spine Sower 1 vs 0.2 · fewer: Sapling Nursery 0 vs 2.5, Esper Origins 1 vs 3.3, Badgermole Cub 0 vs 1.7, Surrak, Elusive Hunter 0 vs 0.9</t>
  </si>
  <si>
    <t>3 Ba Sing Se · 1 Bristly Bill, Spine Sower · 3 Bushwhack · 1 Demolition Field · 4 Earthbender Ascension · 3 Escape Tunnel · 1 Esper Origins · 4 Fabled Passage · 14 Forest · 4 Icetill Explorer · 1 Keen-Eyed Curator · 4 Llanowar Elves · 1 Meltstrider's Resolve · 4 Mightform Harmonizer · 4 Mossborn Hydra · 4 Sazh's Chocobo · 3 Shared Roots · 1 Snakeskin Veil</t>
  </si>
  <si>
    <t>1 Keen-Eyed Curator · 1 Leatherhead, Swamp Stalker · 3 Meltstrider's Resolve · 1 Origin of Metalbending · 1 Pawpatch Formation · 4 Sapling Nursery · 2 Surrak, Elusive Hunter · 2 Torpor Orb</t>
  </si>
  <si>
    <t>黑白回血</t>
  </si>
  <si>
    <t>Build shift score 20 · reference sample 48 · more: Leonardo, Cutting Edge 3 vs 0.4, Essence Channeler 2 vs 0.4, Starting Town 4 vs 2.8, Curious Farm Animals 1 vs 0.0 · fewer: Deep-Cavern Bat 0 vs 2.4, Multiversal Passage 0 vs 1.6, Bleachbone Verge 1 vs 1.9, Lunar Convocation 3 vs 3.8</t>
  </si>
  <si>
    <t>4 Amalia Benavides Aguirre · 1 Aunt May · 1 Bleachbone Verge · 4 Case of the Uneaten Feast · 3 Concealed Courtyard · 1 Curious Farm Animals · 1 Dalkovan Encampment · 2 Emptiness · 2 Erode · 2 Essence Channeler · 4 Godless Shrine · 3 Haliya, Guided by Light · 4 Hinterland Sanctifier · 3 Leonardo, Cutting Edge · 3 Lunar Convocation · 3 Moseo, Vein's New Dean · 3 Plains · 3 Shattered Sanctum · 2 Starscape Cleric · 4 Starting Town · 1 Strategic Betrayal · 2 Swamp · 3 Voice of Victory · 1 Zoraline, Cosmos Caller</t>
  </si>
  <si>
    <t>2 Ancient Vendetta · 1 Authority of the Consuls · 2 Curious Farm Animals · 1 Decorum Dissertation · 1 Enduring Tenacity · 1 Erode · 3 Leyline of the Void · 1 Phyrexian Arena · 1 Seam Rip · 2 Shoot the Sheriff</t>
  </si>
  <si>
    <t>orzhov-lifegain</t>
  </si>
  <si>
    <t>standard/orzhov-lifegain/none</t>
  </si>
  <si>
    <t>蓝黑拷打魔</t>
  </si>
  <si>
    <t>Build shift score 33 · reference sample 63 · more: Overgrown Tomb 4 vs 0.0, Wastewood Verge 4 vs 0.0, Professor Dellian Fel 2 vs 0.0, We Say Thee Nay! 2 vs 0.0 · fewer: Swamp 1 vs 9.1, Duress 0 vs 3.6, Requiting Hex 2 vs 3.9, Hidden Lair 0 vs 1.5</t>
  </si>
  <si>
    <t>3 Bitter Triumph · 1 Breeding Pool · 1 Cavern of Souls · 2 Day of Black Sun · 1 Deadly Cover-Up · 4 Deceit · 2 Doomsday Excruciator · 2 Emeritus of Ideation · 4 Gloomlake Verge · 1 M.O.D.O.K. · 1 Oildeep Gearhulk · 4 Overgrown Tomb · 1 Overlord of the Balemurk · 2 Professor Dellian Fel · 2 Requiting Hex · 1 Restless Cottage · 4 Restless Reef · 3 Stock Up · 1 Strategic Betrayal · 4 Superior Spider-Man · 1 Swamp · 1 Tishana's Tidebinder · 1 Undercity Sewers · 1 Underground Mortuary · 4 Wastewood Verge · 4 Watery Grave · 2 We Say Thee Nay! · 1 Winternight Stories · 2 Wistfulness</t>
  </si>
  <si>
    <t>1 Ancient Vendetta · 1 Deadly Cover-Up · 1 Disdainful Stroke · 3 Duress · 1 Flashfreeze · 1 Ghost Vacuum · 1 Negate · 3 Preacher of the Schism · 1 Quantum Riddler · 1 The End · 1 Wan Shi Tong, Librarian</t>
  </si>
  <si>
    <t>dimir-excruciator</t>
  </si>
  <si>
    <t>standard/dimir-excruciator/none</t>
  </si>
  <si>
    <t>红白龙</t>
  </si>
  <si>
    <t>Build shift score 25 · reference sample 8 · more: Lightning Helix 4 vs 0.9, Magda, the Hoardmaster 3 vs 1.0, Monica Rambeau 2 vs 0.8, Smaug the Magnificent 4 vs 2.9 · fewer: Voice of Victory 0 vs 2.9, Clarion Conqueror 0 vs 2.4, Maelstrom of the Spirit Dragon 2 vs 3.5, Lorehold, the Historian 0 vs 1.1</t>
  </si>
  <si>
    <t>4 Burst Lightning · 2 Cavern of Souls · 1 Dragonhawk, Fate's Tempest · 1 Fountainport · 4 Inspiring Vantage · 4 Lightning Helix · 2 Maelstrom of the Spirit Dragon · 3 Magda, the Hoardmaster · 4 Magmatic Hellkite · 4 Momo, Friendly Flier · 2 Monica Rambeau · 2 Mountain · 4 Multiversal Passage · 4 Nova Hellkite · 1 Plains · 4 Sacred Foundry · 4 Sarkhan, Dragon Ascendant · 4 Smaug the Magnificent · 4 Sunbillow Verge · 2 Twinmaw Stormbrood</t>
  </si>
  <si>
    <t>2 Elspeth, Storm Slayer · 2 Erode · 3 Rest in Peace · 3 Seam Rip · 1 Sheltered by Ghosts · 4 Voice of Victory</t>
  </si>
  <si>
    <t>boros-dragons</t>
  </si>
  <si>
    <t>standard/boros-dragons/none</t>
  </si>
  <si>
    <t>Build shift score 20 · reference sample 64 · more: Infestation Sage 4 vs 0.0, The Sackville-Bagginses 4 vs 0.0, Wan Shi Tong, Librarian 2 vs 0.7, Island 5 vs 4.1 · fewer: Dream Beavers 0 vs 3.5, Tishana's Tidebinder 0 vs 1.5, Spell Pierce 0 vs 1.0, The Wondrous Wasp 1 vs 1.9</t>
  </si>
  <si>
    <t>2 Bitter Triumph · 4 Enduring Curiosity · 4 Floodpits Drowner · 4 Gloomlake Verge · 3 Hidden Lair · 4 Infestation Sage · 5 Island · 4 Kaito, Bane of Nightmares · 4 Requiting Hex · 2 Restless Reef · 2 Shoot the Sheriff · 2 Soulstone Sanctuary · 4 Spyglass Siren · 3 Swamp · 4 The Sackville-Bagginses · 1 The Wondrous Wasp · 2 Wan Shi Tong, Librarian · 4 Watery Grave · 2 We Say Thee Nay!</t>
  </si>
  <si>
    <t>1 Annul · 1 Disdainful Stroke · 2 Duress · 3 Flashfreeze · 2 Spell Pierce · 1 Spell Snare · 3 Strategic Betrayal · 2 The Ooze</t>
  </si>
  <si>
    <t>柯希斯组合技</t>
  </si>
  <si>
    <t>New archetype · prior records under current classifier: 3</t>
  </si>
  <si>
    <t>2 Agatha's Soul Cauldron · 3 Boseiju, Who Endures · 4 Emry, Lurker of the Loch · 4 Grinding Station · 1 Hallowed Fountain · 1 Jace, the Perfected Mind · 4 Kethis, the Hidden Hand · 4 Malevolent Rumble · 1 Minamo, School at Water's Edge · 4 Mishra's Bauble · 4 Mox Amber · 4 Mox Opal · 1 Otawara, Soaring City · 4 Plaza of Heroes · 3 Sewer-veillance Cam · 4 Spire of Industry · 4 Starting Town · 4 Tamiyo, Inquisitive Student · 2 Teferi, Time Raveler · 2 Urza's Saga</t>
  </si>
  <si>
    <t>2 Ashiok, Dream Render · 4 Consign to Memory · 2 Flame of Anor · 1 Haywire Mite · 2 Lavinia, Azorius Renegade · 2 Nihil Spellbomb · 1 Noxious Revival · 1 Toxic Deluge</t>
  </si>
  <si>
    <t>kethis-combo</t>
  </si>
  <si>
    <t>modern/kethis-combo/none</t>
  </si>
  <si>
    <t>红蓝灵技</t>
  </si>
  <si>
    <t>Build shift score 33 · reference sample 60 · more: Experimental Synthesizer 4 vs 0.2, Boomerang Basics 4 vs 0.3, Stormchaser's Talent 4 vs 0.5, Scalding Tarn 4 vs 2.6 · fewer: Slickshot Show-Off 0 vs 3.8, Mutagenic Growth 0 vs 3.6, Expressive Iteration 0 vs 2.7, Wooded Foothills 1 vs 2.2</t>
  </si>
  <si>
    <t>1 Arid Mesa · 2 Bloodstained Mire · 4 Boomerang Basics · 4 Cori-Steel Cutter · 4 Dragon's Rage Channeler · 4 Experimental Synthesizer · 1 Fiery Islet · 1 Island · 4 Lava Dart · 4 Lightning Bolt · 4 Mishra's Bauble · 4 Monastery Swiftspear · 2 Mountain · 1 Polluted Delta · 4 Preordain · 4 Scalding Tarn · 4 Steam Vents · 4 Stormchaser's Talent · 1 Thundering Falls · 1 Tormod's Crypt · 1 Unholy Heat · 1 Wooded Foothills</t>
  </si>
  <si>
    <t>3 Consign to Memory · 1 Fire Magic · 2 Meltdown · 2 Obsidian Charmaw · 1 Spell Pierce · 2 Spell Snare · 1 Surgical Extraction · 1 Tormod's Crypt · 2 Unholy Heat</t>
  </si>
  <si>
    <t>prowess</t>
  </si>
  <si>
    <t>izzet</t>
  </si>
  <si>
    <t>modern/prowess/izzet</t>
  </si>
  <si>
    <t>纯绿孳巢蜥</t>
  </si>
  <si>
    <t>Build shift score 23 · reference sample 54 · more: Ugin's Labyrinth 4 vs 0.7, Devourer of Destiny 3 vs 0.5, Talisman of Resilience 2 vs 0.0, Emrakul, the Promised End 4 vs 2.9 · fewer: Grove of the Burnwillows 0 vs 3.7, Glaring Fleshraker 1 vs 2.7, Delighted Halfling 0 vs 1.0, Vexing Bauble 1 vs 2.0</t>
  </si>
  <si>
    <t>4 Ancient Stirrings · 4 Basking Broodscale · 3 Blade of the Bloodchief · 2 Boseiju, Who Endures · 3 Devourer of Destiny · 2 Dismember · 4 Eldrazi Temple · 4 Emrakul, the Promised End · 5 Forest · 1 Glaring Fleshraker · 1 Haywire Mite · 4 Kozilek's Command · 4 Malevolent Rumble · 1 Shifting Woodland · 1 Soul-Guide Lantern · 4 Sowing Mycospawn · 1 Springleaf Drum · 2 Talisman of Resilience · 1 The Mycosynth Gardens · 4 Ugin's Labyrinth · 4 Urza's Saga · 1 Vexing Bauble</t>
  </si>
  <si>
    <t>1 Cavern of Souls · 1 Gemstone Caverns · 2 Grafdigger's Cage · 2 Nature's Claim · 1 Pithing Needle · 2 Run Afoul · 1 Soul-Guide Lantern · 1 Soulless Jailer · 2 Thief of Existence · 2 Vexing Bauble</t>
  </si>
  <si>
    <t>broodscale-combo</t>
  </si>
  <si>
    <t>mono-green</t>
  </si>
  <si>
    <t>modern/broodscale-combo/mono-green</t>
  </si>
  <si>
    <t>苏勒台走骨</t>
  </si>
  <si>
    <t>Build shift score 23 · reference sample 8 · more: Deceit 4 vs 0.0, Polluted Delta 3 vs 0.0, Harvester of Misery 1 vs 0.0, Sink into Stupor 2 vs 1.0 · fewer: Misty Rainforest 2 vs 4.0, Street Wraith 0 vs 2.0, Colossal Skyturtle 0 vs 1.0, Flare of Denial 0 vs 1.0</t>
  </si>
  <si>
    <t>1 Breeding Pool · 4 Deceit · 1 Disciple of Freyalise · 4 Endurance · 1 Flooded Grove · 4 Force of Negation · 1 Forest · 1 Formidable Speaker · 4 Generous Ent · 1 Harvester of Misery · 1 Island · 3 Living End · 2 Misty Rainforest · 1 Overgrown Tomb · 4 Overlord of the Balemurk · 3 Polluted Delta · 4 Shardless Agent · 2 Sink into Stupor · 4 Subtlety · 1 Sunken Ruins · 1 Superior Spider-Man · 1 Swamp · 3 Troll of Khazad-dûm · 1 Twilight Mire · 1 Undercity Sewers · 1 Underground Mortuary · 1 Watery Grave · 4 Wistfulness</t>
  </si>
  <si>
    <t>2 Ashiok, Dream Render · 2 Culling Ritual · 2 Dismember · 1 Force of Vigor · 2 Foundation Breaker · 1 Harvester of Misery · 2 Inevitable Betrayal · 3 Mystical Dispute</t>
  </si>
  <si>
    <t>living-end</t>
  </si>
  <si>
    <t>sultai</t>
  </si>
  <si>
    <t>modern/living-end/sultai</t>
  </si>
  <si>
    <t>领土动物园</t>
  </si>
  <si>
    <t>Build shift score 28 · reference sample 45 · more: Phelia, Exuberant Shepherd 3 vs 0.8, Quantum Riddler 4 vs 2.2, Lightning Bolt 4 vs 2.5, Consign to Memory 2 vs 0.7 · fewer: Fatal Push 0 vs 1.2, Polluted Delta 0 vs 1.2, Psychic Frog 0 vs 1.2, Doorkeeper Thrull 0 vs 1.1</t>
  </si>
  <si>
    <t>2 Arena of Glory · 4 Arid Mesa · 1 Blood Crypt · 2 Consign to Memory · 4 Flooded Strand · 1 Indatha Triome · 4 Leyline Binding · 4 Leyline of the Guildpact · 4 Lightning Bolt · 1 Lush Portico · 1 Mountain · 3 Phelia, Exuberant Shepherd · 1 Plains · 4 Quantum Riddler · 4 Ragavan, Nimble Pilferer · 4 Scion of Draco · 2 Steam Vents · 3 Stubborn Denial · 1 Teferi, Time Raveler · 1 Temple Garden · 4 Territorial Kavu · 1 Thundering Falls · 4 Wooded Foothills</t>
  </si>
  <si>
    <t>1 Brotherhood's End · 2 Consign to Memory · 1 Containment Priest · 1 High Noon · 3 Mystical Dispute · 2 Obsidian Charmaw · 1 Rest in Peace · 1 Teferi, Time Raveler · 1 Wear/Tear · 2 Wrath of the Skies</t>
  </si>
  <si>
    <t>domain-zoo</t>
  </si>
  <si>
    <t>modern/domain-zoo/none</t>
  </si>
  <si>
    <t>Build shift score 56 · reference sample 58 · more: Darkslick Shores 4 vs 0.0, Ornithopter 4 vs 0.0, Basim Ibn Ishaq 3 vs 0.0, Cranial Plating 3 vs 0.0 · fewer: Engineered Explosives 0 vs 4.0, Spirebluff Canal 0 vs 3.8, Weapons Manufacturing 0 vs 3.7, Fiery Islet 0 vs 3.5</t>
  </si>
  <si>
    <t>3 Basim Ibn Ishaq · 3 Cranial Plating · 4 Darkslick Shores · 1 Emry, Lurker of the Loch · 1 Glimmervoid · 3 Kappa Cannoneer · 2 Krang, Master Mind · 3 Memnite · 4 Mishra's Bauble · 2 Mox Amber · 4 Mox Opal · 4 Ornithopter · 4 Pinnacle Emissary · 1 Shadowspear · 2 Sink into Stupor · 1 Skateboard · 2 Snow-Covered Island · 3 Springleaf Drum · 3 Tamiyo, Inquisitive Student · 3 Tormod's Crypt · 3 Underground River · 4 Urza's Saga</t>
  </si>
  <si>
    <t>1 Consign to Memory · 3 Damping Sphere · 3 Engineered Explosives · 2 Force of Negation · 3 Metallic Rebuke · 1 Pithing Needle · 2 Vexing Bauble</t>
  </si>
  <si>
    <t>modern/affinity/none</t>
  </si>
  <si>
    <t>阿布赞缓伤</t>
  </si>
  <si>
    <t>Build shift score 22 · reference sample 111 · more: Windswept Heath 4 vs 2.3, Ouroboroid 2 vs 0.5, Verdant Catacombs 4 vs 2.7, Beastrider Vanguard 1 vs 0.0 · fewer: Misty Rainforest 0 vs 2.0, Wooded Foothills 0 vs 1.9, Agatha's Soul Cauldron 0 vs 1.5, Duskwatch Recruiter 0 vs 0.9</t>
  </si>
  <si>
    <t>4 Badgermole Cub · 1 Beastrider Vanguard · 2 Birds of Paradise · 2 Boseiju, Who Endures · 1 Craterhoof Behemoth · 4 Delighted Halfling · 4 Devoted Druid · 2 Dryad Arbor · 1 Fiend Artisan · 3 Forest · 1 Formidable Speaker · 1 Gemstone Caverns · 4 Green Sun's Zenith · 4 Leyline of Abundance · 4 Nature's Rhythm · 1 Nurturing Peatland · 2 Ouroboroid · 2 Overgrown Tomb · 1 Shang-Chi, Master of Kung Fu · 1 Temple Garden · 4 Tyvar, Jubilant Brawler · 1 Tyvar, the Pummeler · 1 Underground Mortuary · 4 Verdant Catacombs · 1 Vizier of Remedies · 4 Windswept Heath</t>
  </si>
  <si>
    <t>2 Abrupt Decay · 1 Collector Ouphe · 2 Crystal Barricade · 2 Endurance · 1 Grist, the Hunger Tide · 1 Kraul Harpooner · 1 Masked Vandal · 1 Outland Liberator · 2 Thoughtseize · 2 Vexing Bauble</t>
  </si>
  <si>
    <t>devoted-druid-combo</t>
  </si>
  <si>
    <t>abzan</t>
  </si>
  <si>
    <t>modern/devoted-druid-combo/abzan</t>
  </si>
  <si>
    <t>红宝石风暴</t>
  </si>
  <si>
    <t>Build shift score 32 · reference sample 41 · more: First Day of Class 4 vs 0.0, Highway Robbery 4 vs 0.0, Stormscale Scion 2 vs 0.0, Thundering Falls 2 vs 0.0 · fewer: Reckless Impulse 0 vs 4.0, Wish 0 vs 2.0, Wrenn's Resolve 2 vs 4.0, Artist's Talent 0 vs 1.7</t>
  </si>
  <si>
    <t>2 Arid Mesa · 3 Bloodstained Mire · 1 Boseiju, Who Endures · 1 Commercial District · 4 Desperate Ritual · 4 First Day of Class · 4 Hex Magic · 4 Highway Robbery · 4 Manamorphose · 3 Mountain · 3 Past in Flames · 4 Pyretic Ritual · 4 Ral, Monsoon Mage · 4 Ruby Medallion · 3 Scalding Tarn · 1 Steam Vents · 1 Stomping Ground · 2 Stormscale Scion · 2 Thundering Falls · 1 Valakut Awakening · 3 Wooded Foothills · 2 Wrenn's Resolve</t>
  </si>
  <si>
    <t>1 Abandon Attachments · 2 Boomerang Basics · 3 Divide by Zero · 1 Firebending Lesson · 1 Improvisation Capstone · 1 Iroh's Demonstration · 1 It'll Quench Ya! · 1 Mascot Exhibition · 1 Origin of Metalbending · 1 Price of Freedom · 2 Redirect Lightning</t>
  </si>
  <si>
    <t>ruby-storm</t>
  </si>
  <si>
    <t>modern/ruby-storm/none</t>
  </si>
  <si>
    <t>艾斯波云移</t>
  </si>
  <si>
    <t>Build shift score 24 · reference sample 87 · more: Flickerwisp 4 vs 2.5, Polluted Delta 3 vs 1.6, Ephemerate 4 vs 2.9, Elesh Norn, Mother of Machines 1 vs 0.0 · fewer: Prismatic Ending 0 vs 1.5, Emperor of Bones 1 vs 2.5, Meticulous Archive 0 vs 1.0, Undercity Sewers 0 vs 1.0</t>
  </si>
  <si>
    <t>1 Boggart Trawler · 1 Consign to Memory · 1 Elesh Norn, Mother of Machines · 1 Emperor of Bones · 4 Ephemerate · 4 Fatal Push · 4 Flickerwisp · 4 Flooded Strand · 1 Godless Shrine · 1 Hallowed Fountain · 1 Island · 4 Marsh Flats · 4 Overlord of the Balemurk · 4 Phelia, Exuberant Shepherd · 2 Plains · 3 Polluted Delta · 4 Quantum Riddler · 1 Shadowy Backstreet · 4 Solitude · 1 Swamp · 1 Teferi, Time Raveler · 4 Thoughtseize · 1 Watery Grave · 4 Witch Enchanter</t>
  </si>
  <si>
    <t>3 Clarion Conqueror · 3 Consign to Memory · 2 Damping Sphere · 3 High Noon · 1 Nihil Spellbomb · 3 Wrath of the Skies</t>
  </si>
  <si>
    <t>esper-blink</t>
  </si>
  <si>
    <t>modern/esper-blink/none</t>
  </si>
  <si>
    <t>2026-W35 · All Top 8 · exact decks for unrestricted additions</t>
  </si>
  <si>
    <t>机器未列入候选的牌表也可以追加。请在 Add to Featured? 选择 ADD 并写 Owner Note；提交后 Codex 会把该精确牌表加入 Featured Decks，再由您补齐 Landing 字段。此页不会自行发布。</t>
  </si>
  <si>
    <t>Add to Featured?</t>
  </si>
  <si>
    <t>Owner Note</t>
  </si>
  <si>
    <t>Izzet Spellementals</t>
  </si>
  <si>
    <t>MdvWin</t>
  </si>
  <si>
    <t>deck:d0d2852723a09f48a56e</t>
  </si>
  <si>
    <t>红蓝元素 · MdvWin · 第2名</t>
  </si>
  <si>
    <t>Izzet Spellementals · MdvWin · Rank 2</t>
  </si>
  <si>
    <t>https://jacelber.github.io/mtgo-data/index.html?format=standard&amp;product=mtgo-top8&amp;week=2026-W35&amp;detail=12852766%3A2&amp;lang=zh</t>
  </si>
  <si>
    <t>Capitano_CL</t>
  </si>
  <si>
    <t>deck:d0461535a5082ce390ee</t>
  </si>
  <si>
    <t>纯绿地落 · Capitano_CL · 第3名</t>
  </si>
  <si>
    <t>Mono-Green Landfall · Capitano_CL · Rank 3</t>
  </si>
  <si>
    <t>https://jacelber.github.io/mtgo-data/index.html?format=standard&amp;product=mtgo-top8&amp;week=2026-W35&amp;detail=12852766%3A3&amp;lang=zh</t>
  </si>
  <si>
    <t>ADD</t>
  </si>
  <si>
    <t>满编截水师水袋拿下一个四强</t>
  </si>
  <si>
    <t>Azorius Control</t>
  </si>
  <si>
    <t>jtl005</t>
  </si>
  <si>
    <t>deck:ec57ff967da37ccf91b7</t>
  </si>
  <si>
    <t>蓝白控制 · jtl005 · 第4名</t>
  </si>
  <si>
    <t>Azorius Control · jtl005 · Rank 4</t>
  </si>
  <si>
    <t>https://jacelber.github.io/mtgo-data/index.html?format=standard&amp;product=mtgo-top8&amp;week=2026-W35&amp;detail=12852766%3A4&amp;lang=zh</t>
  </si>
  <si>
    <t>Laplasjan</t>
  </si>
  <si>
    <t>deck:5fc2f8e674a2f0f24ff4</t>
  </si>
  <si>
    <t>纯绿地落 · Laplasjan · 第5名</t>
  </si>
  <si>
    <t>Mono-Green Landfall · Laplasjan · Rank 5</t>
  </si>
  <si>
    <t>https://jacelber.github.io/mtgo-data/index.html?format=standard&amp;product=mtgo-top8&amp;week=2026-W35&amp;detail=12852766%3A5&amp;lang=zh</t>
  </si>
  <si>
    <t>Jeskai Artifacts</t>
  </si>
  <si>
    <t>taldoitalo</t>
  </si>
  <si>
    <t>deck:c70782712ec1ebe027db</t>
  </si>
  <si>
    <t>洁斯凯神器 · taldoitalo · 第6名</t>
  </si>
  <si>
    <t>Jeskai Artifacts · taldoitalo · Rank 6</t>
  </si>
  <si>
    <t>https://jacelber.github.io/mtgo-data/index.html?format=standard&amp;product=mtgo-top8&amp;week=2026-W35&amp;detail=12852766%3A6&amp;lang=zh</t>
  </si>
  <si>
    <t>mommydom_manifesto</t>
  </si>
  <si>
    <t>deck:ee1db97c0c64cdb0f6de</t>
  </si>
  <si>
    <t>红白龙 · mommydom_manifesto · 第7名</t>
  </si>
  <si>
    <t>Boros Dragons · mommydom_manifesto · Rank 7</t>
  </si>
  <si>
    <t>https://jacelber.github.io/mtgo-data/index.html?format=standard&amp;product=mtgo-top8&amp;week=2026-W35&amp;detail=12852766%3A7&amp;lang=zh</t>
  </si>
  <si>
    <t>毒镖蛙哥在才能被禁后的地脉投掷版本，本周席卷一场</t>
  </si>
  <si>
    <t>Leyline Aggro</t>
  </si>
  <si>
    <t>MacIsaac</t>
  </si>
  <si>
    <t>deck:8fdac0a6194558e83efc</t>
  </si>
  <si>
    <t>地脉红蓝 · MacIsaac · 第1名</t>
  </si>
  <si>
    <t>Izzet Leyline Aggro · MacIsaac · Rank 1</t>
  </si>
  <si>
    <t>https://jacelber.github.io/mtgo-data/index.html?format=standard&amp;product=mtgo-top8&amp;week=2026-W35&amp;detail=12852775%3A1&amp;lang=zh</t>
  </si>
  <si>
    <t>Azorius Momo</t>
  </si>
  <si>
    <t>TrueHero</t>
  </si>
  <si>
    <t>deck:1e91c43c52bc4a2b33c7</t>
  </si>
  <si>
    <t>蓝白模模 · TrueHero · 第3名</t>
  </si>
  <si>
    <t>Azorius Momo · TrueHero · Rank 3</t>
  </si>
  <si>
    <t>https://jacelber.github.io/mtgo-data/index.html?format=standard&amp;product=mtgo-top8&amp;week=2026-W35&amp;detail=12852775%3A3&amp;lang=zh</t>
  </si>
  <si>
    <t>Mono-Black Aggro</t>
  </si>
  <si>
    <t>Bertram</t>
  </si>
  <si>
    <t>deck:f393848d0721e86c1493</t>
  </si>
  <si>
    <t>纯黑快攻 · Bertram · 第7名</t>
  </si>
  <si>
    <t>Mono-Black Aggro · Bertram · Rank 7</t>
  </si>
  <si>
    <t>https://jacelber.github.io/mtgo-data/index.html?format=standard&amp;product=mtgo-top8&amp;week=2026-W35&amp;detail=12852775%3A7&amp;lang=zh</t>
  </si>
  <si>
    <t>_Chamytinho_</t>
  </si>
  <si>
    <t>deck:baa405205228f6031626</t>
  </si>
  <si>
    <t>纯绿地落 · _Chamytinho_ · 第8名</t>
  </si>
  <si>
    <t>Mono-Green Landfall · _Chamytinho_ · Rank 8</t>
  </si>
  <si>
    <t>https://jacelber.github.io/mtgo-data/index.html?format=standard&amp;product=mtgo-top8&amp;week=2026-W35&amp;detail=12852775%3A8&amp;lang=zh</t>
  </si>
  <si>
    <t>AKvsJJ</t>
  </si>
  <si>
    <t>deck:acd64480393ee151594a</t>
  </si>
  <si>
    <t>白绿地落 · AKvsJJ · 第2名</t>
  </si>
  <si>
    <t>Selesnya Landfall · AKvsJJ · Rank 2</t>
  </si>
  <si>
    <t>https://jacelber.github.io/mtgo-data/index.html?format=standard&amp;product=mtgo-top8&amp;week=2026-W35&amp;detail=12853170%3A2&amp;lang=zh</t>
  </si>
  <si>
    <t>Jeskai Tablet</t>
  </si>
  <si>
    <t>Kritik</t>
  </si>
  <si>
    <t>deck:c87c41f10542bffb78bf</t>
  </si>
  <si>
    <t>洁斯凯石板 · Kritik · 第3名</t>
  </si>
  <si>
    <t>Jeskai Tablet · Kritik · Rank 3</t>
  </si>
  <si>
    <t>https://jacelber.github.io/mtgo-data/index.html?format=standard&amp;product=mtgo-top8&amp;week=2026-W35&amp;detail=12853170%3A3&amp;lang=zh</t>
  </si>
  <si>
    <t>liuyuchen</t>
  </si>
  <si>
    <t>deck:6c5dac7f92e67f57ff33</t>
  </si>
  <si>
    <t>纯绿地落 · liuyuchen · 第4名</t>
  </si>
  <si>
    <t>Mono-Green Landfall · liuyuchen · Rank 4</t>
  </si>
  <si>
    <t>https://jacelber.github.io/mtgo-data/index.html?format=standard&amp;product=mtgo-top8&amp;week=2026-W35&amp;detail=12853170%3A4&amp;lang=zh</t>
  </si>
  <si>
    <t>bubblywubblytubbler</t>
  </si>
  <si>
    <t>deck:32b34178c62817b824b5</t>
  </si>
  <si>
    <t>蓝黑中速 · bubblywubblytubbler · 第5名</t>
  </si>
  <si>
    <t>Dimir Midrange · bubblywubblytubbler · Rank 5</t>
  </si>
  <si>
    <t>https://jacelber.github.io/mtgo-data/index.html?format=standard&amp;product=mtgo-top8&amp;week=2026-W35&amp;detail=12853170%3A5&amp;lang=zh</t>
  </si>
  <si>
    <t>HolaChico</t>
  </si>
  <si>
    <t>deck:7aa04ac5bde2745dec6d</t>
  </si>
  <si>
    <t>红蓝元素 · HolaChico · 第6名</t>
  </si>
  <si>
    <t>Izzet Spellementals · HolaChico · Rank 6</t>
  </si>
  <si>
    <t>https://jacelber.github.io/mtgo-data/index.html?format=standard&amp;product=mtgo-top8&amp;week=2026-W35&amp;detail=12853170%3A6&amp;lang=zh</t>
  </si>
  <si>
    <t>Dwarves</t>
  </si>
  <si>
    <t>scipios</t>
  </si>
  <si>
    <t>deck:6c8d42998ed001bd4589</t>
  </si>
  <si>
    <t>红白矮人 · scipios · 第7名</t>
  </si>
  <si>
    <t>Boros Dwarves · scipios · Rank 7</t>
  </si>
  <si>
    <t>https://jacelber.github.io/mtgo-data/index.html?format=standard&amp;product=mtgo-top8&amp;week=2026-W35&amp;detail=12853170%3A7&amp;lang=zh</t>
  </si>
  <si>
    <t>传统洁斯凯神器，完全没用新牌，也能够席卷</t>
  </si>
  <si>
    <t>aljce</t>
  </si>
  <si>
    <t>deck:b65e7c596ec9a1c79648</t>
  </si>
  <si>
    <t>洁斯凯神器 · aljce · 第1名</t>
  </si>
  <si>
    <t>Jeskai Artifacts · aljce · Rank 1</t>
  </si>
  <si>
    <t>https://jacelber.github.io/mtgo-data/index.html?format=standard&amp;product=mtgo-top8&amp;week=2026-W35&amp;detail=12853183%3A1&amp;lang=zh</t>
  </si>
  <si>
    <t>HyPPeR</t>
  </si>
  <si>
    <t>deck:2b6bc60c16d2d33482ef</t>
  </si>
  <si>
    <t>纯绿地落 · HyPPeR · 第3名</t>
  </si>
  <si>
    <t>Mono-Green Landfall · HyPPeR · Rank 3</t>
  </si>
  <si>
    <t>https://jacelber.github.io/mtgo-data/index.html?format=standard&amp;product=mtgo-top8&amp;week=2026-W35&amp;detail=12853183%3A3&amp;lang=zh</t>
  </si>
  <si>
    <t>deck:609d5dd1b5cf4f3273eb</t>
  </si>
  <si>
    <t>纯黑快攻 · Bertram · 第4名</t>
  </si>
  <si>
    <t>Mono-Black Aggro · Bertram · Rank 4</t>
  </si>
  <si>
    <t>https://jacelber.github.io/mtgo-data/index.html?format=standard&amp;product=mtgo-top8&amp;week=2026-W35&amp;detail=12853183%3A4&amp;lang=zh</t>
  </si>
  <si>
    <r>
      <t>HOB</t>
    </r>
    <r>
      <rPr>
        <sz val="10"/>
        <color rgb="FF243746"/>
        <rFont val="宋体"/>
        <charset val="134"/>
      </rPr>
      <t>矮人</t>
    </r>
    <r>
      <rPr>
        <sz val="10"/>
        <color rgb="FF243746"/>
        <rFont val="Carlito"/>
        <charset val="134"/>
      </rPr>
      <t>+</t>
    </r>
    <r>
      <rPr>
        <sz val="10"/>
        <color rgb="FF243746"/>
        <rFont val="宋体"/>
        <charset val="134"/>
      </rPr>
      <t>武具思路的矮人套牌本周两项占比也都可以超过</t>
    </r>
    <r>
      <rPr>
        <sz val="10"/>
        <color rgb="FF243746"/>
        <rFont val="Carlito"/>
        <charset val="134"/>
      </rPr>
      <t>5%</t>
    </r>
    <r>
      <rPr>
        <sz val="10"/>
        <color rgb="FF243746"/>
        <rFont val="宋体"/>
        <charset val="134"/>
      </rPr>
      <t>。奇力、戴恩一行给续航，舞锤矮人和劳班装武具打伤害。最强力的应该是梭林，进场装所有武具，有熔刺靴+地脉斧就是敏捷连击践踏，进场还能解一个阻挡者，经常能直接终结比赛。</t>
    </r>
  </si>
  <si>
    <t>L1X0</t>
  </si>
  <si>
    <t>deck:ccd8c0e396b0f9bf2338</t>
  </si>
  <si>
    <t>红白矮人 · L1X0 · 第5名</t>
  </si>
  <si>
    <t>Boros Dwarves · L1X0 · Rank 5</t>
  </si>
  <si>
    <t>https://jacelber.github.io/mtgo-data/index.html?format=standard&amp;product=mtgo-top8&amp;week=2026-W35&amp;detail=12853183%3A5&amp;lang=zh</t>
  </si>
  <si>
    <t>之前席卷过一场RC的进绿混惆怅的拷打魔，本周有一个八强成绩</t>
  </si>
  <si>
    <t>r0cknati0n</t>
  </si>
  <si>
    <t>deck:81cdd241ec4087f8b797</t>
  </si>
  <si>
    <t>纯绿地落 · r0cknati0n · 第7名</t>
  </si>
  <si>
    <t>Mono-Green Landfall · r0cknati0n · Rank 7</t>
  </si>
  <si>
    <t>https://jacelber.github.io/mtgo-data/index.html?format=standard&amp;product=mtgo-top8&amp;week=2026-W35&amp;detail=12853183%3A7&amp;lang=zh</t>
  </si>
  <si>
    <t>Takayama</t>
  </si>
  <si>
    <t>deck:d6c1c5f3d3caca1708ef</t>
  </si>
  <si>
    <t>洁斯凯石板 · Takayama · 第8名</t>
  </si>
  <si>
    <t>Jeskai Tablet · Takayama · Rank 8</t>
  </si>
  <si>
    <t>https://jacelber.github.io/mtgo-data/index.html?format=standard&amp;product=mtgo-top8&amp;week=2026-W35&amp;detail=12853183%3A8&amp;lang=zh</t>
  </si>
  <si>
    <t>Standard Challenge 32 · 12853190</t>
  </si>
  <si>
    <t>Venom01</t>
  </si>
  <si>
    <t>deck:ba6d75f935706c85d587</t>
  </si>
  <si>
    <t>纯绿地落 · Venom01 · 第1名</t>
  </si>
  <si>
    <t>Mono-Green Landfall · Venom01 · Rank 1</t>
  </si>
  <si>
    <t>https://jacelber.github.io/mtgo-data/index.html?format=standard&amp;product=mtgo-top8&amp;week=2026-W35&amp;detail=12853190%3A1&amp;lang=zh</t>
  </si>
  <si>
    <t>fate_kuro</t>
  </si>
  <si>
    <t>deck:d50e94af500842e6a96d</t>
  </si>
  <si>
    <t>红蓝元素 · fate_kuro · 第2名</t>
  </si>
  <si>
    <t>Izzet Spellementals · fate_kuro · Rank 2</t>
  </si>
  <si>
    <t>https://jacelber.github.io/mtgo-data/index.html?format=standard&amp;product=mtgo-top8&amp;week=2026-W35&amp;detail=12853190%3A2&amp;lang=zh</t>
  </si>
  <si>
    <t>msskinbolic</t>
  </si>
  <si>
    <t>deck:8efdbce98aa39b836b62</t>
  </si>
  <si>
    <t>纯绿地落 · msskinbolic · 第3名</t>
  </si>
  <si>
    <t>Mono-Green Landfall · msskinbolic · Rank 3</t>
  </si>
  <si>
    <t>https://jacelber.github.io/mtgo-data/index.html?format=standard&amp;product=mtgo-top8&amp;week=2026-W35&amp;detail=12853190%3A3&amp;lang=zh</t>
  </si>
  <si>
    <t>indianpancake</t>
  </si>
  <si>
    <t>deck:7caad3fd41bbb7f83312</t>
  </si>
  <si>
    <t>蓝黑中速 · indianpancake · 第4名</t>
  </si>
  <si>
    <t>Dimir Midrange · indianpancake · Rank 4</t>
  </si>
  <si>
    <t>https://jacelber.github.io/mtgo-data/index.html?format=standard&amp;product=mtgo-top8&amp;week=2026-W35&amp;detail=12853190%3A4&amp;lang=zh</t>
  </si>
  <si>
    <t>VitorCarvalho01</t>
  </si>
  <si>
    <t>deck:34058038bd6f12187151</t>
  </si>
  <si>
    <t>蓝黑拷打魔 · VitorCarvalho01 · 第5名</t>
  </si>
  <si>
    <t>Dimir Excruciator · VitorCarvalho01 · Rank 5</t>
  </si>
  <si>
    <t>https://jacelber.github.io/mtgo-data/index.html?format=standard&amp;product=mtgo-top8&amp;week=2026-W35&amp;detail=12853190%3A5&amp;lang=zh</t>
  </si>
  <si>
    <t>ryuumei</t>
  </si>
  <si>
    <t>deck:888d04da590e38444adc</t>
  </si>
  <si>
    <t>蓝白控制 · ryuumei · 第6名</t>
  </si>
  <si>
    <t>Azorius Control · ryuumei · Rank 6</t>
  </si>
  <si>
    <t>https://jacelber.github.io/mtgo-data/index.html?format=standard&amp;product=mtgo-top8&amp;week=2026-W35&amp;detail=12853190%3A6&amp;lang=zh</t>
  </si>
  <si>
    <t>Temur Harmonizer</t>
  </si>
  <si>
    <t>SpockVidaLoka</t>
  </si>
  <si>
    <t>deck:3ddf9c2cb250b2263ea7</t>
  </si>
  <si>
    <t>铁木尔谐颂者 · SpockVidaLoka · 第7名</t>
  </si>
  <si>
    <t>Temur Harmonizer · SpockVidaLoka · Rank 7</t>
  </si>
  <si>
    <t>https://jacelber.github.io/mtgo-data/index.html?format=standard&amp;product=mtgo-top8&amp;week=2026-W35&amp;detail=12853190%3A7&amp;lang=zh</t>
  </si>
  <si>
    <t>_Falcon_</t>
  </si>
  <si>
    <t>deck:a060f94ffc88ba6073be</t>
  </si>
  <si>
    <t>蓝黑中速 · _Falcon_ · 第8名</t>
  </si>
  <si>
    <t>Dimir Midrange · _Falcon_ · Rank 8</t>
  </si>
  <si>
    <t>https://jacelber.github.io/mtgo-data/index.html?format=standard&amp;product=mtgo-top8&amp;week=2026-W35&amp;detail=12853190%3A8&amp;lang=zh</t>
  </si>
  <si>
    <t>同样是TMT之后的版本，虽然没有獾地鼠了但影响不大。本周可以席卷一场</t>
  </si>
  <si>
    <t>Standard Challenge 32 · 12853208</t>
  </si>
  <si>
    <t>Bant Airbending</t>
  </si>
  <si>
    <t>Cachorrowo</t>
  </si>
  <si>
    <t>deck:9c0f1669a41d46933d8a</t>
  </si>
  <si>
    <t>班特截气 · Cachorrowo · 第1名</t>
  </si>
  <si>
    <t>Bant Airbending · Cachorrowo · Rank 1</t>
  </si>
  <si>
    <t>https://jacelber.github.io/mtgo-data/index.html?format=standard&amp;product=mtgo-top8&amp;week=2026-W35&amp;detail=12853208%3A1&amp;lang=zh</t>
  </si>
  <si>
    <t>deck:fc6fdafcc05e4df01ae5</t>
  </si>
  <si>
    <t>纯绿地落 · Venom01 · 第2名</t>
  </si>
  <si>
    <t>Mono-Green Landfall · Venom01 · Rank 2</t>
  </si>
  <si>
    <t>https://jacelber.github.io/mtgo-data/index.html?format=standard&amp;product=mtgo-top8&amp;week=2026-W35&amp;detail=12853208%3A2&amp;lang=zh</t>
  </si>
  <si>
    <t>Mansa_Musa</t>
  </si>
  <si>
    <t>deck:378cbe01cb817a102967</t>
  </si>
  <si>
    <t>白绿地落 · Mansa_Musa · 第3名</t>
  </si>
  <si>
    <t>Selesnya Landfall · Mansa_Musa · Rank 3</t>
  </si>
  <si>
    <t>https://jacelber.github.io/mtgo-data/index.html?format=standard&amp;product=mtgo-top8&amp;week=2026-W35&amp;detail=12853208%3A3&amp;lang=zh</t>
  </si>
  <si>
    <t>jps_17</t>
  </si>
  <si>
    <t>deck:efcab00b6b3c4d7fc50e</t>
  </si>
  <si>
    <t>红蓝元素 · jps_17 · 第4名</t>
  </si>
  <si>
    <t>Izzet Spellementals · jps_17 · Rank 4</t>
  </si>
  <si>
    <t>https://jacelber.github.io/mtgo-data/index.html?format=standard&amp;product=mtgo-top8&amp;week=2026-W35&amp;detail=12853208%3A4&amp;lang=zh</t>
  </si>
  <si>
    <t>deck:25e06e1b174bde329b8c</t>
  </si>
  <si>
    <t>https://jacelber.github.io/mtgo-data/index.html?format=standard&amp;product=mtgo-top8&amp;week=2026-W35&amp;detail=12853208%3A5&amp;lang=zh</t>
  </si>
  <si>
    <t>wolf2222</t>
  </si>
  <si>
    <t>deck:b0b84364dfc806593bc1</t>
  </si>
  <si>
    <t>纯绿地落 · wolf2222 · 第6名</t>
  </si>
  <si>
    <t>Mono-Green Landfall · wolf2222 · Rank 6</t>
  </si>
  <si>
    <t>https://jacelber.github.io/mtgo-data/index.html?format=standard&amp;product=mtgo-top8&amp;week=2026-W35&amp;detail=12853208%3A6&amp;lang=zh</t>
  </si>
  <si>
    <t>J0hnWick</t>
  </si>
  <si>
    <t>deck:c90a9068930a9051e6a0</t>
  </si>
  <si>
    <t>纯绿地落 · J0hnWick · 第7名</t>
  </si>
  <si>
    <t>Mono-Green Landfall · J0hnWick · Rank 7</t>
  </si>
  <si>
    <t>https://jacelber.github.io/mtgo-data/index.html?format=standard&amp;product=mtgo-top8&amp;week=2026-W35&amp;detail=12853208%3A7&amp;lang=zh</t>
  </si>
  <si>
    <t>Arianne</t>
  </si>
  <si>
    <t>deck:31613dbbe6bee50b4ab1</t>
  </si>
  <si>
    <t>纯绿地落 · Arianne · 第8名</t>
  </si>
  <si>
    <t>Mono-Green Landfall · Arianne · Rank 8</t>
  </si>
  <si>
    <t>https://jacelber.github.io/mtgo-data/index.html?format=standard&amp;product=mtgo-top8&amp;week=2026-W35&amp;detail=12853208%3A8&amp;lang=zh</t>
  </si>
  <si>
    <t>Modern Challenge 64 · 12852760</t>
  </si>
  <si>
    <t>skullcrobatjoker</t>
  </si>
  <si>
    <t>deck:aa1084d8a0793d1979fc</t>
  </si>
  <si>
    <t>共鸣 · skullcrobatjoker · 第1名</t>
  </si>
  <si>
    <t>Affinity · skullcrobatjoker · Rank 1</t>
  </si>
  <si>
    <t>https://jacelber.github.io/mtgo-data/index.html?format=modern&amp;product=mtgo-top8&amp;week=2026-W35&amp;detail=12852760%3A1&amp;lang=zh</t>
  </si>
  <si>
    <t>Mono-Blue Belcher</t>
  </si>
  <si>
    <t>Savior0117</t>
  </si>
  <si>
    <t>deck:bb3376c38bdb4fa07781</t>
  </si>
  <si>
    <t>纯蓝喷火炮 · Savior0117 · 第2名</t>
  </si>
  <si>
    <t>Mono-Blue Belcher · Savior0117 · Rank 2</t>
  </si>
  <si>
    <t>https://jacelber.github.io/mtgo-data/index.html?format=modern&amp;product=mtgo-top8&amp;week=2026-W35&amp;detail=12852760%3A2&amp;lang=zh</t>
  </si>
  <si>
    <t>gazmon48</t>
  </si>
  <si>
    <t>deck:abee4859ccf47e9a3569</t>
  </si>
  <si>
    <t>艾斯波云移 · gazmon48 · 第3名</t>
  </si>
  <si>
    <t>Esper Blink · gazmon48 · Rank 3</t>
  </si>
  <si>
    <t>https://jacelber.github.io/mtgo-data/index.html?format=modern&amp;product=mtgo-top8&amp;week=2026-W35&amp;detail=12852760%3A3&amp;lang=zh</t>
  </si>
  <si>
    <t>MyrRetriever</t>
  </si>
  <si>
    <t>deck:dbf518bc359b25caac47</t>
  </si>
  <si>
    <t>纯绿孳巢蜥 · MyrRetriever · 第4名</t>
  </si>
  <si>
    <t>Mono-Green Broodscale Combo · MyrRetriever · Rank 4</t>
  </si>
  <si>
    <t>https://jacelber.github.io/mtgo-data/index.html?format=modern&amp;product=mtgo-top8&amp;week=2026-W35&amp;detail=12852760%3A4&amp;lang=zh</t>
  </si>
  <si>
    <t>Hazzrd</t>
  </si>
  <si>
    <t>deck:b0192ca505de674d35f4</t>
  </si>
  <si>
    <t>红绿孳巢蜥 · Hazzrd · 第5名</t>
  </si>
  <si>
    <t>Gruul Broodscale Combo · Hazzrd · Rank 5</t>
  </si>
  <si>
    <t>https://jacelber.github.io/mtgo-data/index.html?format=modern&amp;product=mtgo-top8&amp;week=2026-W35&amp;detail=12852760%3A5&amp;lang=zh</t>
  </si>
  <si>
    <t>Dimir Tempo</t>
  </si>
  <si>
    <t>ETBJezus</t>
  </si>
  <si>
    <t>deck:e2b063b6cb593c156c27</t>
  </si>
  <si>
    <t>蓝黑节奏 · ETBJezus · 第6名</t>
  </si>
  <si>
    <t>Dimir Tempo · ETBJezus · Rank 6</t>
  </si>
  <si>
    <t>https://jacelber.github.io/mtgo-data/index.html?format=modern&amp;product=mtgo-top8&amp;week=2026-W35&amp;detail=12852760%3A6&amp;lang=zh</t>
  </si>
  <si>
    <t>C_S_W____</t>
  </si>
  <si>
    <t>deck:b3eb2b6f7081d098b8e9</t>
  </si>
  <si>
    <t>蓝黑节奏 · C_S_W____ · 第7名</t>
  </si>
  <si>
    <t>Dimir Tempo · C_S_W____ · Rank 7</t>
  </si>
  <si>
    <t>https://jacelber.github.io/mtgo-data/index.html?format=modern&amp;product=mtgo-top8&amp;week=2026-W35&amp;detail=12852760%3A7&amp;lang=zh</t>
  </si>
  <si>
    <t>Dioferreira</t>
  </si>
  <si>
    <t>deck:8c039b84dd298212d79d</t>
  </si>
  <si>
    <t>艾斯波云移 · Dioferreira · 第8名</t>
  </si>
  <si>
    <t>Esper Blink · Dioferreira · Rank 8</t>
  </si>
  <si>
    <t>https://jacelber.github.io/mtgo-data/index.html?format=modern&amp;product=mtgo-top8&amp;week=2026-W35&amp;detail=12852760%3A8&amp;lang=zh</t>
  </si>
  <si>
    <t>Modern Challenge 96 · 12852762</t>
  </si>
  <si>
    <t>Boros Ponza</t>
  </si>
  <si>
    <t>deck:a673f270406284bc5fa7</t>
  </si>
  <si>
    <t>红白炸地 · Kritik · 第1名</t>
  </si>
  <si>
    <t>Boros Ponza · Kritik · Rank 1</t>
  </si>
  <si>
    <t>https://jacelber.github.io/mtgo-data/index.html?format=modern&amp;product=mtgo-top8&amp;week=2026-W35&amp;detail=12852762%3A1&amp;lang=zh</t>
  </si>
  <si>
    <t>elBB</t>
  </si>
  <si>
    <t>deck:0ffd9bcd6dffb8c5aa14</t>
  </si>
  <si>
    <t>红蓝灵技 · elBB · 第2名</t>
  </si>
  <si>
    <t>Izzet Prowess · elBB · Rank 2</t>
  </si>
  <si>
    <t>https://jacelber.github.io/mtgo-data/index.html?format=modern&amp;product=mtgo-top8&amp;week=2026-W35&amp;detail=12852762%3A2&amp;lang=zh</t>
  </si>
  <si>
    <t>Jeskai Energy</t>
  </si>
  <si>
    <t>MayoDominaria</t>
  </si>
  <si>
    <t>deck:29550e15276e6546f616</t>
  </si>
  <si>
    <t>洁斯凯能量 · MayoDominaria · 第3名</t>
  </si>
  <si>
    <t>Jeskai Energy · MayoDominaria · Rank 3</t>
  </si>
  <si>
    <t>https://jacelber.github.io/mtgo-data/index.html?format=modern&amp;product=mtgo-top8&amp;week=2026-W35&amp;detail=12852762%3A3&amp;lang=zh</t>
  </si>
  <si>
    <t>Mapletreefrog</t>
  </si>
  <si>
    <t>deck:462082ba9cf0293161cf</t>
  </si>
  <si>
    <t>艾斯波云移 · Mapletreefrog · 第4名</t>
  </si>
  <si>
    <t>Esper Blink · Mapletreefrog · Rank 4</t>
  </si>
  <si>
    <t>https://jacelber.github.io/mtgo-data/index.html?format=modern&amp;product=mtgo-top8&amp;week=2026-W35&amp;detail=12852762%3A4&amp;lang=zh</t>
  </si>
  <si>
    <t>Boros Energy</t>
  </si>
  <si>
    <t>Rashek</t>
  </si>
  <si>
    <t>deck:245bed80fd09d6999db4</t>
  </si>
  <si>
    <t>红白能量 · Rashek · 第5名</t>
  </si>
  <si>
    <t>Boros Energy · Rashek · Rank 5</t>
  </si>
  <si>
    <t>https://jacelber.github.io/mtgo-data/index.html?format=modern&amp;product=mtgo-top8&amp;week=2026-W35&amp;detail=12852762%3A5&amp;lang=zh</t>
  </si>
  <si>
    <t>Davidowiz</t>
  </si>
  <si>
    <t>deck:c9c3a18cfde8774a4fb6</t>
  </si>
  <si>
    <t>红白能量 · Davidowiz · 第6名</t>
  </si>
  <si>
    <t>Boros Energy · Davidowiz · Rank 6</t>
  </si>
  <si>
    <t>https://jacelber.github.io/mtgo-data/index.html?format=modern&amp;product=mtgo-top8&amp;week=2026-W35&amp;detail=12852762%3A6&amp;lang=zh</t>
  </si>
  <si>
    <t>Esper Goryo's</t>
  </si>
  <si>
    <t>lunaloveee</t>
  </si>
  <si>
    <t>deck:e2e4164de317e8b3c630</t>
  </si>
  <si>
    <t>艾斯波怨灵 · lunaloveee · 第7名</t>
  </si>
  <si>
    <t>Esper Goryo's · lunaloveee · Rank 7</t>
  </si>
  <si>
    <t>https://jacelber.github.io/mtgo-data/index.html?format=modern&amp;product=mtgo-top8&amp;week=2026-W35&amp;detail=12852762%3A7&amp;lang=zh</t>
  </si>
  <si>
    <t>Xsper</t>
  </si>
  <si>
    <t>deck:280b73538942e2ab0528</t>
  </si>
  <si>
    <t>红蓝灵技 · Xsper · 第8名</t>
  </si>
  <si>
    <t>Izzet Prowess · Xsper · Rank 8</t>
  </si>
  <si>
    <t>https://jacelber.github.io/mtgo-data/index.html?format=modern&amp;product=mtgo-top8&amp;week=2026-W35&amp;detail=12852762%3A8&amp;lang=zh</t>
  </si>
  <si>
    <t>Modern Challenge 32 · 12852769</t>
  </si>
  <si>
    <t>MeninoNey</t>
  </si>
  <si>
    <t>deck:7506bc3d82d83a24cdf0</t>
  </si>
  <si>
    <t>铁木尔走骨 · MeninoNey · 第1名</t>
  </si>
  <si>
    <t>Temur Living End · MeninoNey · Rank 1</t>
  </si>
  <si>
    <t>https://jacelber.github.io/mtgo-data/index.html?format=modern&amp;product=mtgo-top8&amp;week=2026-W35&amp;detail=12852769%3A1&amp;lang=zh</t>
  </si>
  <si>
    <t>AzureMoon</t>
  </si>
  <si>
    <t>deck:c09a70896697714a7d39</t>
  </si>
  <si>
    <t>铁木尔走骨 · AzureMoon · 第2名</t>
  </si>
  <si>
    <t>Temur Living End · AzureMoon · Rank 2</t>
  </si>
  <si>
    <t>https://jacelber.github.io/mtgo-data/index.html?format=modern&amp;product=mtgo-top8&amp;week=2026-W35&amp;detail=12852769%3A2&amp;lang=zh</t>
  </si>
  <si>
    <t>Oculus Ritual</t>
  </si>
  <si>
    <t>morris</t>
  </si>
  <si>
    <t>deck:eaff85171889844305e7</t>
  </si>
  <si>
    <t>苏勒台大眼 · morris · 第3名</t>
  </si>
  <si>
    <t>Sultai Oculus Ritual · morris · Rank 3</t>
  </si>
  <si>
    <t>https://jacelber.github.io/mtgo-data/index.html?format=modern&amp;product=mtgo-top8&amp;week=2026-W35&amp;detail=12852769%3A3&amp;lang=zh</t>
  </si>
  <si>
    <t>rastaf</t>
  </si>
  <si>
    <t>deck:378c6df8443fa649339b</t>
  </si>
  <si>
    <t>艾斯波云移 · rastaf · 第4名</t>
  </si>
  <si>
    <t>Esper Blink · rastaf · Rank 4</t>
  </si>
  <si>
    <t>https://jacelber.github.io/mtgo-data/index.html?format=modern&amp;product=mtgo-top8&amp;week=2026-W35&amp;detail=12852769%3A4&amp;lang=zh</t>
  </si>
  <si>
    <t>EthanBird</t>
  </si>
  <si>
    <t>deck:843f0612a1891f564331</t>
  </si>
  <si>
    <t>红蓝灵技 · EthanBird · 第5名</t>
  </si>
  <si>
    <t>Izzet Prowess · EthanBird · Rank 5</t>
  </si>
  <si>
    <t>https://jacelber.github.io/mtgo-data/index.html?format=modern&amp;product=mtgo-top8&amp;week=2026-W35&amp;detail=12852769%3A5&amp;lang=zh</t>
  </si>
  <si>
    <t>connormc02</t>
  </si>
  <si>
    <t>deck:78d462613f37f252a0e0</t>
  </si>
  <si>
    <t>艾斯波怨灵 · connormc02 · 第6名</t>
  </si>
  <si>
    <t>Esper Goryo's · connormc02 · Rank 6</t>
  </si>
  <si>
    <t>https://jacelber.github.io/mtgo-data/index.html?format=modern&amp;product=mtgo-top8&amp;week=2026-W35&amp;detail=12852769%3A6&amp;lang=zh</t>
  </si>
  <si>
    <t>Hollowvine</t>
  </si>
  <si>
    <t>Bugsy69</t>
  </si>
  <si>
    <t>deck:26226b56ae3da6350526</t>
  </si>
  <si>
    <t>藤蔓石椁 · Bugsy69 · 第7名</t>
  </si>
  <si>
    <t>Hollowvine · Bugsy69 · Rank 7</t>
  </si>
  <si>
    <t>https://jacelber.github.io/mtgo-data/index.html?format=modern&amp;product=mtgo-top8&amp;week=2026-W35&amp;detail=12852769%3A7&amp;lang=zh</t>
  </si>
  <si>
    <t>deck:eb2188963a5a9497a29c</t>
  </si>
  <si>
    <t>https://jacelber.github.io/mtgo-data/index.html?format=modern&amp;product=mtgo-top8&amp;week=2026-W35&amp;detail=12852769%3A8&amp;lang=zh</t>
  </si>
  <si>
    <t>Eldrazi Ramp</t>
  </si>
  <si>
    <t>Lightspirit</t>
  </si>
  <si>
    <t>deck:504eb559e4775c185252</t>
  </si>
  <si>
    <t>红绿奥札奇 · Lightspirit · 第1名</t>
  </si>
  <si>
    <t>Gruul Eldrazi Ramp · Lightspirit · Rank 1</t>
  </si>
  <si>
    <t>https://jacelber.github.io/mtgo-data/index.html?format=modern&amp;product=mtgo-top8&amp;week=2026-W35&amp;detail=12852770%3A1&amp;lang=zh</t>
  </si>
  <si>
    <t>toondoslav</t>
  </si>
  <si>
    <t>deck:f5241e9c1bcf3276ddc1</t>
  </si>
  <si>
    <t>艾斯波云移 · toondoslav · 第2名</t>
  </si>
  <si>
    <t>Esper Blink · toondoslav · Rank 2</t>
  </si>
  <si>
    <t>https://jacelber.github.io/mtgo-data/index.html?format=modern&amp;product=mtgo-top8&amp;week=2026-W35&amp;detail=12852770%3A2&amp;lang=zh</t>
  </si>
  <si>
    <t>TomBombadi1</t>
  </si>
  <si>
    <t>deck:c7e0e07351b8c8ab0236</t>
  </si>
  <si>
    <t>纯绿孳巢蜥 · TomBombadi1 · 第3名</t>
  </si>
  <si>
    <t>Mono-Green Broodscale Combo · TomBombadi1 · Rank 3</t>
  </si>
  <si>
    <t>https://jacelber.github.io/mtgo-data/index.html?format=modern&amp;product=mtgo-top8&amp;week=2026-W35&amp;detail=12852770%3A3&amp;lang=zh</t>
  </si>
  <si>
    <t>ejk</t>
  </si>
  <si>
    <t>deck:185ba14fd30ceaac0590</t>
  </si>
  <si>
    <t>共鸣 · ejk · 第4名</t>
  </si>
  <si>
    <t>Affinity · ejk · Rank 4</t>
  </si>
  <si>
    <t>https://jacelber.github.io/mtgo-data/index.html?format=modern&amp;product=mtgo-top8&amp;week=2026-W35&amp;detail=12852770%3A4&amp;lang=zh</t>
  </si>
  <si>
    <t>Simic Neoform</t>
  </si>
  <si>
    <t>ReservoirMog</t>
  </si>
  <si>
    <t>deck:5a19e356b0ffbc2e3ac3</t>
  </si>
  <si>
    <t>一新棘泽边 · ReservoirMog · 第5名</t>
  </si>
  <si>
    <t>Simic Neoform · ReservoirMog · Rank 5</t>
  </si>
  <si>
    <t>https://jacelber.github.io/mtgo-data/index.html?format=modern&amp;product=mtgo-top8&amp;week=2026-W35&amp;detail=12852770%3A5&amp;lang=zh</t>
  </si>
  <si>
    <t>JPA93</t>
  </si>
  <si>
    <t>deck:662f8eea1e707b170301</t>
  </si>
  <si>
    <t>一新棘泽边 · JPA93 · 第6名</t>
  </si>
  <si>
    <t>Simic Neoform · JPA93 · Rank 6</t>
  </si>
  <si>
    <t>https://jacelber.github.io/mtgo-data/index.html?format=modern&amp;product=mtgo-top8&amp;week=2026-W35&amp;detail=12852770%3A6&amp;lang=zh</t>
  </si>
  <si>
    <t>meanfannypack</t>
  </si>
  <si>
    <t>deck:c50a06887329b4e2184d</t>
  </si>
  <si>
    <t>艾斯波云移 · meanfannypack · 第8名</t>
  </si>
  <si>
    <t>Esper Blink · meanfannypack · Rank 8</t>
  </si>
  <si>
    <t>https://jacelber.github.io/mtgo-data/index.html?format=modern&amp;product=mtgo-top8&amp;week=2026-W35&amp;detail=12852770%3A8&amp;lang=zh</t>
  </si>
  <si>
    <t>Modern Challenge 64 · 12852776</t>
  </si>
  <si>
    <t>Dydyk95</t>
  </si>
  <si>
    <t>deck:99a230d231a94036be45</t>
  </si>
  <si>
    <t>阿布赞缓伤 · Dydyk95 · 第1名</t>
  </si>
  <si>
    <t>Abzan Devoted Druid Combo · Dydyk95 · Rank 1</t>
  </si>
  <si>
    <t>https://jacelber.github.io/mtgo-data/index.html?format=modern&amp;product=mtgo-top8&amp;week=2026-W35&amp;detail=12852776%3A1&amp;lang=zh</t>
  </si>
  <si>
    <t>StormQrow</t>
  </si>
  <si>
    <t>deck:db0cde5dc771270c2673</t>
  </si>
  <si>
    <t>艾斯波云移 · StormQrow · 第2名</t>
  </si>
  <si>
    <t>Esper Blink · StormQrow · Rank 2</t>
  </si>
  <si>
    <t>https://jacelber.github.io/mtgo-data/index.html?format=modern&amp;product=mtgo-top8&amp;week=2026-W35&amp;detail=12852776%3A2&amp;lang=zh</t>
  </si>
  <si>
    <t>SorryImSoTilted</t>
  </si>
  <si>
    <t>deck:4ff4d3416aca722ec0ab</t>
  </si>
  <si>
    <t>艾斯波云移 · SorryImSoTilted · 第3名</t>
  </si>
  <si>
    <t>Esper Blink · SorryImSoTilted · Rank 3</t>
  </si>
  <si>
    <t>https://jacelber.github.io/mtgo-data/index.html?format=modern&amp;product=mtgo-top8&amp;week=2026-W35&amp;detail=12852776%3A3&amp;lang=zh</t>
  </si>
  <si>
    <t>fazparte</t>
  </si>
  <si>
    <t>deck:ccaa4fb05ab59b29f219</t>
  </si>
  <si>
    <t>洁斯凯能量 · fazparte · 第4名</t>
  </si>
  <si>
    <t>Jeskai Energy · fazparte · Rank 4</t>
  </si>
  <si>
    <t>https://jacelber.github.io/mtgo-data/index.html?format=modern&amp;product=mtgo-top8&amp;week=2026-W35&amp;detail=12852776%3A4&amp;lang=zh</t>
  </si>
  <si>
    <t>ziofrancone</t>
  </si>
  <si>
    <t>deck:488aa6472f4a01352a95</t>
  </si>
  <si>
    <t>红绿孳巢蜥 · ziofrancone · 第5名</t>
  </si>
  <si>
    <t>Gruul Broodscale Combo · ziofrancone · Rank 5</t>
  </si>
  <si>
    <t>https://jacelber.github.io/mtgo-data/index.html?format=modern&amp;product=mtgo-top8&amp;week=2026-W35&amp;detail=12852776%3A5&amp;lang=zh</t>
  </si>
  <si>
    <t>Anemu</t>
  </si>
  <si>
    <t>deck:10d8396d11f05bb7307d</t>
  </si>
  <si>
    <t>红蓝灵技 · Anemu · 第6名</t>
  </si>
  <si>
    <t>Izzet Prowess · Anemu · Rank 6</t>
  </si>
  <si>
    <t>https://jacelber.github.io/mtgo-data/index.html?format=modern&amp;product=mtgo-top8&amp;week=2026-W35&amp;detail=12852776%3A6&amp;lang=zh</t>
  </si>
  <si>
    <t>deck:c560648deee0511093b8</t>
  </si>
  <si>
    <t>蓝黑节奏 · ETBJezus · 第7名</t>
  </si>
  <si>
    <t>Dimir Tempo · ETBJezus · Rank 7</t>
  </si>
  <si>
    <t>https://jacelber.github.io/mtgo-data/index.html?format=modern&amp;product=mtgo-top8&amp;week=2026-W35&amp;detail=12852776%3A7&amp;lang=zh</t>
  </si>
  <si>
    <t>shindy</t>
  </si>
  <si>
    <t>deck:90c6621627b2c149dbfe</t>
  </si>
  <si>
    <t>红白炸地 · shindy · 第8名</t>
  </si>
  <si>
    <t>Boros Ponza · shindy · Rank 8</t>
  </si>
  <si>
    <t>https://jacelber.github.io/mtgo-data/index.html?format=modern&amp;product=mtgo-top8&amp;week=2026-W35&amp;detail=12852776%3A8&amp;lang=zh</t>
  </si>
  <si>
    <t>jussupinator</t>
  </si>
  <si>
    <t>deck:46fc98b34af505a85270</t>
  </si>
  <si>
    <t>艾斯波怨灵 · jussupinator · 第1名</t>
  </si>
  <si>
    <t>Esper Goryo's · jussupinator · Rank 1</t>
  </si>
  <si>
    <t>https://jacelber.github.io/mtgo-data/index.html?format=modern&amp;product=mtgo-top8&amp;week=2026-W35&amp;detail=12853160%3A1&amp;lang=zh</t>
  </si>
  <si>
    <t>Chant Control</t>
  </si>
  <si>
    <t>cgouldner</t>
  </si>
  <si>
    <t>deck:386fa139f201e7999e62</t>
  </si>
  <si>
    <t>洁斯凯吟颂 · cgouldner · 第2名</t>
  </si>
  <si>
    <t>Jeskai Chant Control · cgouldner · Rank 2</t>
  </si>
  <si>
    <t>https://jacelber.github.io/mtgo-data/index.html?format=modern&amp;product=mtgo-top8&amp;week=2026-W35&amp;detail=12853160%3A2&amp;lang=zh</t>
  </si>
  <si>
    <t>Sultai Living End · RNicoF · Rank 3</t>
  </si>
  <si>
    <t>Selesnya Energy</t>
  </si>
  <si>
    <t>VampireDiaries</t>
  </si>
  <si>
    <t>deck:7d706525808c6159b945</t>
  </si>
  <si>
    <t>白绿能量 · VampireDiaries · 第4名</t>
  </si>
  <si>
    <t>Selesnya Energy · VampireDiaries · Rank 4</t>
  </si>
  <si>
    <t>https://jacelber.github.io/mtgo-data/index.html?format=modern&amp;product=mtgo-top8&amp;week=2026-W35&amp;detail=12853160%3A4&amp;lang=zh</t>
  </si>
  <si>
    <t>Fight Rigging</t>
  </si>
  <si>
    <t>frekinsmart</t>
  </si>
  <si>
    <t>deck:cbf552c379f735210022</t>
  </si>
  <si>
    <t>操纵比赛 · frekinsmart · 第5名</t>
  </si>
  <si>
    <t>Fight Rigging · frekinsmart · Rank 5</t>
  </si>
  <si>
    <t>https://jacelber.github.io/mtgo-data/index.html?format=modern&amp;product=mtgo-top8&amp;week=2026-W35&amp;detail=12853160%3A5&amp;lang=zh</t>
  </si>
  <si>
    <t>GMFischer</t>
  </si>
  <si>
    <t>deck:21fbe1ccb93061100198</t>
  </si>
  <si>
    <t>红蓝灵技 · GMFischer · 第6名</t>
  </si>
  <si>
    <t>Izzet Prowess · GMFischer · Rank 6</t>
  </si>
  <si>
    <t>https://jacelber.github.io/mtgo-data/index.html?format=modern&amp;product=mtgo-top8&amp;week=2026-W35&amp;detail=12853160%3A6&amp;lang=zh</t>
  </si>
  <si>
    <t>manohito</t>
  </si>
  <si>
    <t>deck:ffbfc34211214ea3fe73</t>
  </si>
  <si>
    <t>纯绿孳巢蜥 · manohito · 第7名</t>
  </si>
  <si>
    <t>Mono-Green Broodscale Combo · manohito · Rank 7</t>
  </si>
  <si>
    <t>https://jacelber.github.io/mtgo-data/index.html?format=modern&amp;product=mtgo-top8&amp;week=2026-W35&amp;detail=12853160%3A7&amp;lang=zh</t>
  </si>
  <si>
    <t>MercurialChemister</t>
  </si>
  <si>
    <t>deck:cd05e7221914ee5048ff</t>
  </si>
  <si>
    <t>领土动物园 · MercurialChemister · 第8名</t>
  </si>
  <si>
    <t>Domain Zoo · MercurialChemister · Rank 8</t>
  </si>
  <si>
    <t>https://jacelber.github.io/mtgo-data/index.html?format=modern&amp;product=mtgo-top8&amp;week=2026-W35&amp;detail=12853160%3A8&amp;lang=zh</t>
  </si>
  <si>
    <t>Modern Challenge 96 · 12852781</t>
  </si>
  <si>
    <t>KajuRoers</t>
  </si>
  <si>
    <t>deck:37b47218925d71bb6c0f</t>
  </si>
  <si>
    <t>纯绿孳巢蜥 · KajuRoers · 第1名</t>
  </si>
  <si>
    <t>Mono-Green Broodscale Combo · KajuRoers · Rank 1</t>
  </si>
  <si>
    <t>https://jacelber.github.io/mtgo-data/index.html?format=modern&amp;product=mtgo-top8&amp;week=2026-W35&amp;detail=12852781%3A1&amp;lang=zh</t>
  </si>
  <si>
    <t>deck:4660840590f05472b8ef</t>
  </si>
  <si>
    <t>洁斯凯能量 · MayoDominaria · 第2名</t>
  </si>
  <si>
    <t>Jeskai Energy · MayoDominaria · Rank 2</t>
  </si>
  <si>
    <t>https://jacelber.github.io/mtgo-data/index.html?format=modern&amp;product=mtgo-top8&amp;week=2026-W35&amp;detail=12852781%3A2&amp;lang=zh</t>
  </si>
  <si>
    <t>deck:31dced31469abfca7716</t>
  </si>
  <si>
    <t>红蓝灵技 · JPA93 · 第3名</t>
  </si>
  <si>
    <t>Izzet Prowess · JPA93 · Rank 3</t>
  </si>
  <si>
    <t>https://jacelber.github.io/mtgo-data/index.html?format=modern&amp;product=mtgo-top8&amp;week=2026-W35&amp;detail=12852781%3A3&amp;lang=zh</t>
  </si>
  <si>
    <t>deck:73722dec234a08eaf22f</t>
  </si>
  <si>
    <t>红白炸地 · Kritik · 第4名</t>
  </si>
  <si>
    <t>Boros Ponza · Kritik · Rank 4</t>
  </si>
  <si>
    <t>https://jacelber.github.io/mtgo-data/index.html?format=modern&amp;product=mtgo-top8&amp;week=2026-W35&amp;detail=12852781%3A4&amp;lang=zh</t>
  </si>
  <si>
    <t>Walker735</t>
  </si>
  <si>
    <t>deck:e10a8874388a159b99c5</t>
  </si>
  <si>
    <t>洁斯凯能量 · Walker735 · 第5名</t>
  </si>
  <si>
    <t>Jeskai Energy · Walker735 · Rank 5</t>
  </si>
  <si>
    <t>https://jacelber.github.io/mtgo-data/index.html?format=modern&amp;product=mtgo-top8&amp;week=2026-W35&amp;detail=12852781%3A5&amp;lang=zh</t>
  </si>
  <si>
    <t>oinkmage22</t>
  </si>
  <si>
    <t>deck:a5d40dd71b3a01ab9757</t>
  </si>
  <si>
    <t>蓝黑节奏 · oinkmage22 · 第6名</t>
  </si>
  <si>
    <t>Dimir Tempo · oinkmage22 · Rank 6</t>
  </si>
  <si>
    <t>https://jacelber.github.io/mtgo-data/index.html?format=modern&amp;product=mtgo-top8&amp;week=2026-W35&amp;detail=12852781%3A6&amp;lang=zh</t>
  </si>
  <si>
    <t>Song of Creation</t>
  </si>
  <si>
    <t>levunga21</t>
  </si>
  <si>
    <t>deck:8f23296f067083216305</t>
  </si>
  <si>
    <t>创生颂曲 · levunga21 · 第7名</t>
  </si>
  <si>
    <t>Song of Creation · levunga21 · Rank 7</t>
  </si>
  <si>
    <t>https://jacelber.github.io/mtgo-data/index.html?format=modern&amp;product=mtgo-top8&amp;week=2026-W35&amp;detail=12852781%3A7&amp;lang=zh</t>
  </si>
  <si>
    <t>Necrodominance</t>
  </si>
  <si>
    <t>LBBL</t>
  </si>
  <si>
    <t>deck:424376f9e06cc58321c2</t>
  </si>
  <si>
    <t>黑绿死冥 · LBBL · 第8名</t>
  </si>
  <si>
    <t>Golgari Necrodominance · LBBL · Rank 8</t>
  </si>
  <si>
    <t>https://jacelber.github.io/mtgo-data/index.html?format=modern&amp;product=mtgo-top8&amp;week=2026-W35&amp;detail=12852781%3A8&amp;lang=zh</t>
  </si>
  <si>
    <t>Modern Challenge 64 · 12853171</t>
  </si>
  <si>
    <t>deck:d890c5f68962a593c482</t>
  </si>
  <si>
    <t>纯绿孳巢蜥 · lunaloveee · 第1名</t>
  </si>
  <si>
    <t>Mono-Green Broodscale Combo · lunaloveee · Rank 1</t>
  </si>
  <si>
    <t>https://jacelber.github.io/mtgo-data/index.html?format=modern&amp;product=mtgo-top8&amp;week=2026-W35&amp;detail=12853171%3A1&amp;lang=zh</t>
  </si>
  <si>
    <t>ls149950</t>
  </si>
  <si>
    <t>deck:f620ffda1e92ec9ce1b5</t>
  </si>
  <si>
    <t>纯绿孳巢蜥 · ls149950 · 第2名</t>
  </si>
  <si>
    <t>Mono-Green Broodscale Combo · ls149950 · Rank 2</t>
  </si>
  <si>
    <t>https://jacelber.github.io/mtgo-data/index.html?format=modern&amp;product=mtgo-top8&amp;week=2026-W35&amp;detail=12853171%3A2&amp;lang=zh</t>
  </si>
  <si>
    <t>KingOfGames1522</t>
  </si>
  <si>
    <t>deck:6da107092a45c48e5468</t>
  </si>
  <si>
    <t>领土动物园 · KingOfGames1522 · 第3名</t>
  </si>
  <si>
    <t>Domain Zoo · KingOfGames1522 · Rank 3</t>
  </si>
  <si>
    <t>https://jacelber.github.io/mtgo-data/index.html?format=modern&amp;product=mtgo-top8&amp;week=2026-W35&amp;detail=12853171%3A3&amp;lang=zh</t>
  </si>
  <si>
    <t>PrismaticPrism</t>
  </si>
  <si>
    <t>deck:af6969a1c3d8e8b06813</t>
  </si>
  <si>
    <t>纯蓝喷火炮 · PrismaticPrism · 第4名</t>
  </si>
  <si>
    <t>Mono-Blue Belcher · PrismaticPrism · Rank 4</t>
  </si>
  <si>
    <t>https://jacelber.github.io/mtgo-data/index.html?format=modern&amp;product=mtgo-top8&amp;week=2026-W35&amp;detail=12853171%3A4&amp;lang=zh</t>
  </si>
  <si>
    <t>deck:713d3d1d25a77f0fca7d</t>
  </si>
  <si>
    <t>艾斯波云移 · rastaf · 第5名</t>
  </si>
  <si>
    <t>Esper Blink · rastaf · Rank 5</t>
  </si>
  <si>
    <t>https://jacelber.github.io/mtgo-data/index.html?format=modern&amp;product=mtgo-top8&amp;week=2026-W35&amp;detail=12853171%3A5&amp;lang=zh</t>
  </si>
  <si>
    <t>Jumba</t>
  </si>
  <si>
    <t>deck:879e95e724f0067912b1</t>
  </si>
  <si>
    <t>纯绿孳巢蜥 · Jumba · 第6名</t>
  </si>
  <si>
    <t>Mono-Green Broodscale Combo · Jumba · Rank 6</t>
  </si>
  <si>
    <t>https://jacelber.github.io/mtgo-data/index.html?format=modern&amp;product=mtgo-top8&amp;week=2026-W35&amp;detail=12853171%3A6&amp;lang=zh</t>
  </si>
  <si>
    <t>_Batutinha_</t>
  </si>
  <si>
    <t>deck:ad98de7be69f4d5428d7</t>
  </si>
  <si>
    <t>艾斯波云移 · _Batutinha_ · 第7名</t>
  </si>
  <si>
    <t>Esper Blink · _Batutinha_ · Rank 7</t>
  </si>
  <si>
    <t>https://jacelber.github.io/mtgo-data/index.html?format=modern&amp;product=mtgo-top8&amp;week=2026-W35&amp;detail=12853171%3A7&amp;lang=zh</t>
  </si>
  <si>
    <t>Watchwolf92</t>
  </si>
  <si>
    <t>deck:899a8b52c19cc3950db5</t>
  </si>
  <si>
    <t>红白炸地 · Watchwolf92 · 第8名</t>
  </si>
  <si>
    <t>Boros Ponza · Watchwolf92 · Rank 8</t>
  </si>
  <si>
    <t>https://jacelber.github.io/mtgo-data/index.html?format=modern&amp;product=mtgo-top8&amp;week=2026-W35&amp;detail=12853171%3A8&amp;lang=zh</t>
  </si>
  <si>
    <t>deck:903b4723e85502540964</t>
  </si>
  <si>
    <t>红蓝灵技 · MdvWin · 第1名</t>
  </si>
  <si>
    <t>Izzet Prowess · MdvWin · Rank 1</t>
  </si>
  <si>
    <t>https://jacelber.github.io/mtgo-data/index.html?format=modern&amp;product=mtgo-top8&amp;week=2026-W35&amp;detail=12853181%3A1&amp;lang=zh</t>
  </si>
  <si>
    <t>Izzet Prowess · BressD1 · Rank 2</t>
  </si>
  <si>
    <t>firstshot</t>
  </si>
  <si>
    <t>deck:e8282d5cafc4d70a8c82</t>
  </si>
  <si>
    <t>红蓝灵技 · firstshot · 第3名</t>
  </si>
  <si>
    <t>Izzet Prowess · firstshot · Rank 3</t>
  </si>
  <si>
    <t>https://jacelber.github.io/mtgo-data/index.html?format=modern&amp;product=mtgo-top8&amp;week=2026-W35&amp;detail=12853181%3A3&amp;lang=zh</t>
  </si>
  <si>
    <t>walshi4life</t>
  </si>
  <si>
    <t>deck:c26d3ebef2e40aa5049a</t>
  </si>
  <si>
    <t>红蓝灵技 · walshi4life · 第4名</t>
  </si>
  <si>
    <t>Izzet Prowess · walshi4life · Rank 4</t>
  </si>
  <si>
    <t>https://jacelber.github.io/mtgo-data/index.html?format=modern&amp;product=mtgo-top8&amp;week=2026-W35&amp;detail=12853181%3A4&amp;lang=zh</t>
  </si>
  <si>
    <t>ShadowTitan1</t>
  </si>
  <si>
    <t>deck:8648d95c58139600c65a</t>
  </si>
  <si>
    <t>洁斯凯能量 · ShadowTitan1 · 第5名</t>
  </si>
  <si>
    <t>Jeskai Energy · ShadowTitan1 · Rank 5</t>
  </si>
  <si>
    <t>https://jacelber.github.io/mtgo-data/index.html?format=modern&amp;product=mtgo-top8&amp;week=2026-W35&amp;detail=12853181%3A5&amp;lang=zh</t>
  </si>
  <si>
    <t>Abzan Devoted Druid Combo · mtwhet · Rank 6</t>
  </si>
  <si>
    <t>deck:4f2866e7ed464262e919</t>
  </si>
  <si>
    <t>红蓝灵技 · elBB · 第7名</t>
  </si>
  <si>
    <t>Izzet Prowess · elBB · Rank 7</t>
  </si>
  <si>
    <t>https://jacelber.github.io/mtgo-data/index.html?format=modern&amp;product=mtgo-top8&amp;week=2026-W35&amp;detail=12853181%3A7&amp;lang=zh</t>
  </si>
  <si>
    <t>Eldrazi Tron</t>
  </si>
  <si>
    <t>Slyker</t>
  </si>
  <si>
    <t>deck:17dc830e2315b78f28e4</t>
  </si>
  <si>
    <t>纯绿奥塔 · Slyker · 第8名</t>
  </si>
  <si>
    <t>Mono-Green Eldrazi Tron · Slyker · Rank 8</t>
  </si>
  <si>
    <t>https://jacelber.github.io/mtgo-data/index.html?format=modern&amp;product=mtgo-top8&amp;week=2026-W35&amp;detail=12853181%3A8&amp;lang=zh</t>
  </si>
  <si>
    <t>Modern Challenge 64 · 12853186</t>
  </si>
  <si>
    <t>deck:e58b29615e98d7db35b9</t>
  </si>
  <si>
    <t>https://jacelber.github.io/mtgo-data/index.html?format=modern&amp;product=mtgo-top8&amp;week=2026-W35&amp;detail=12853186%3A1&amp;lang=zh</t>
  </si>
  <si>
    <t>hugofreitas1</t>
  </si>
  <si>
    <t>deck:37dd61fdf7dbac913b36</t>
  </si>
  <si>
    <t>红宝石风暴 · hugofreitas1 · 第2名</t>
  </si>
  <si>
    <t>Ruby Storm · hugofreitas1 · Rank 2</t>
  </si>
  <si>
    <t>https://jacelber.github.io/mtgo-data/index.html?format=modern&amp;product=mtgo-top8&amp;week=2026-W35&amp;detail=12853186%3A2&amp;lang=zh</t>
  </si>
  <si>
    <t>deck:9335f561c3a904528fbd</t>
  </si>
  <si>
    <t>纯绿孳巢蜥 · HelpfulHobo · 第3名</t>
  </si>
  <si>
    <t>Mono-Green Broodscale Combo · HelpfulHobo · Rank 3</t>
  </si>
  <si>
    <t>https://jacelber.github.io/mtgo-data/index.html?format=modern&amp;product=mtgo-top8&amp;week=2026-W35&amp;detail=12853186%3A3&amp;lang=zh</t>
  </si>
  <si>
    <t>Mono-Black Eldrazi</t>
  </si>
  <si>
    <t>Selfeisek</t>
  </si>
  <si>
    <t>deck:26aa26012027f549a6d3</t>
  </si>
  <si>
    <t>黑奥札奇 · Selfeisek · 第4名</t>
  </si>
  <si>
    <t>Mono-Black Eldrazi · Selfeisek · Rank 4</t>
  </si>
  <si>
    <t>https://jacelber.github.io/mtgo-data/index.html?format=modern&amp;product=mtgo-top8&amp;week=2026-W35&amp;detail=12853186%3A4&amp;lang=zh</t>
  </si>
  <si>
    <t>deck:b058a2c3c9244528a287</t>
  </si>
  <si>
    <t>艾斯波云移 · Venom01 · 第5名</t>
  </si>
  <si>
    <t>Esper Blink · Venom01 · Rank 5</t>
  </si>
  <si>
    <t>https://jacelber.github.io/mtgo-data/index.html?format=modern&amp;product=mtgo-top8&amp;week=2026-W35&amp;detail=12853186%3A5&amp;lang=zh</t>
  </si>
  <si>
    <t>Sam Combo</t>
  </si>
  <si>
    <t>JustAnotherGuy83</t>
  </si>
  <si>
    <t>deck:eed425bc6d2f7021dd50</t>
  </si>
  <si>
    <t>山姆组合技 · JustAnotherGuy83 · 第6名</t>
  </si>
  <si>
    <t>Sam Combo · JustAnotherGuy83 · Rank 6</t>
  </si>
  <si>
    <t>https://jacelber.github.io/mtgo-data/index.html?format=modern&amp;product=mtgo-top8&amp;week=2026-W35&amp;detail=12853186%3A6&amp;lang=zh</t>
  </si>
  <si>
    <t>Esper Ketramose</t>
  </si>
  <si>
    <t>yriel</t>
  </si>
  <si>
    <t>deck:b886ce1ff4969d5676ba</t>
  </si>
  <si>
    <t>艾斯波黑白神 · yriel · 第7名</t>
  </si>
  <si>
    <t>Esper Ketramose · yriel · Rank 7</t>
  </si>
  <si>
    <t>https://jacelber.github.io/mtgo-data/index.html?format=modern&amp;product=mtgo-top8&amp;week=2026-W35&amp;detail=12853186%3A7&amp;lang=zh</t>
  </si>
  <si>
    <t>deck:784e2f9208fedc7873b9</t>
  </si>
  <si>
    <t>铁木尔走骨 · MeninoNey · 第8名</t>
  </si>
  <si>
    <t>Temur Living End · MeninoNey · Rank 8</t>
  </si>
  <si>
    <t>https://jacelber.github.io/mtgo-data/index.html?format=modern&amp;product=mtgo-top8&amp;week=2026-W35&amp;detail=12853186%3A8&amp;lang=zh</t>
  </si>
  <si>
    <t>Silk_lobelia</t>
  </si>
  <si>
    <t>deck:f81a5bbb4ccded118408</t>
  </si>
  <si>
    <t>红蓝灵技 · Silk_lobelia · 第1名</t>
  </si>
  <si>
    <t>Izzet Prowess · Silk_lobelia · Rank 1</t>
  </si>
  <si>
    <t>https://jacelber.github.io/mtgo-data/index.html?format=modern&amp;product=mtgo-top8&amp;week=2026-W35&amp;detail=12853187%3A1&amp;lang=zh</t>
  </si>
  <si>
    <t>Mono-Blue Tron</t>
  </si>
  <si>
    <t>AoKashikosa</t>
  </si>
  <si>
    <t>deck:8aa43f19fed10127930f</t>
  </si>
  <si>
    <t>纯蓝塔脉炉 · AoKashikosa · 第2名</t>
  </si>
  <si>
    <t>Mono-Blue Tron · AoKashikosa · Rank 2</t>
  </si>
  <si>
    <t>https://jacelber.github.io/mtgo-data/index.html?format=modern&amp;product=mtgo-top8&amp;week=2026-W35&amp;detail=12853187%3A2&amp;lang=zh</t>
  </si>
  <si>
    <t>VizosMTG</t>
  </si>
  <si>
    <t>deck:fde981d3806ad664d5e2</t>
  </si>
  <si>
    <t>艾斯波云移 · VizosMTG · 第3名</t>
  </si>
  <si>
    <t>Esper Blink · VizosMTG · Rank 3</t>
  </si>
  <si>
    <t>https://jacelber.github.io/mtgo-data/index.html?format=modern&amp;product=mtgo-top8&amp;week=2026-W35&amp;detail=12853187%3A3&amp;lang=zh</t>
  </si>
  <si>
    <t>Marmotte_Lambda</t>
  </si>
  <si>
    <t>deck:a0a9ab2ca5231e676ce6</t>
  </si>
  <si>
    <t>藤蔓石椁 · Marmotte_Lambda · 第4名</t>
  </si>
  <si>
    <t>Hollowvine · Marmotte_Lambda · Rank 4</t>
  </si>
  <si>
    <t>https://jacelber.github.io/mtgo-data/index.html?format=modern&amp;product=mtgo-top8&amp;week=2026-W35&amp;detail=12853187%3A4&amp;lang=zh</t>
  </si>
  <si>
    <t>stefansson30952</t>
  </si>
  <si>
    <t>deck:81e74b8d2625db4e23d6</t>
  </si>
  <si>
    <t>红绿奥札奇 · stefansson30952 · 第5名</t>
  </si>
  <si>
    <t>Gruul Eldrazi Ramp · stefansson30952 · Rank 5</t>
  </si>
  <si>
    <t>https://jacelber.github.io/mtgo-data/index.html?format=modern&amp;product=mtgo-top8&amp;week=2026-W35&amp;detail=12853187%3A5&amp;lang=zh</t>
  </si>
  <si>
    <t>oskiyaa</t>
  </si>
  <si>
    <t>deck:474c51661999c8646a9a</t>
  </si>
  <si>
    <t>一新棘泽边 · oskiyaa · 第6名</t>
  </si>
  <si>
    <t>Simic Neoform · oskiyaa · Rank 6</t>
  </si>
  <si>
    <t>https://jacelber.github.io/mtgo-data/index.html?format=modern&amp;product=mtgo-top8&amp;week=2026-W35&amp;detail=12853187%3A6&amp;lang=zh</t>
  </si>
  <si>
    <t>felider</t>
  </si>
  <si>
    <t>deck:800fc255289953ba674c</t>
  </si>
  <si>
    <t>艾斯波怨灵 · felider · 第7名</t>
  </si>
  <si>
    <t>Esper Goryo's · felider · Rank 7</t>
  </si>
  <si>
    <t>https://jacelber.github.io/mtgo-data/index.html?format=modern&amp;product=mtgo-top8&amp;week=2026-W35&amp;detail=12853187%3A7&amp;lang=zh</t>
  </si>
  <si>
    <t>deck:603258a7c3e7a36b1e41</t>
  </si>
  <si>
    <t>艾斯波云移 · rastaf · 第1名</t>
  </si>
  <si>
    <t>Esper Blink · rastaf · Rank 1</t>
  </si>
  <si>
    <t>https://jacelber.github.io/mtgo-data/index.html?format=modern&amp;product=mtgo-top8&amp;week=2026-W35&amp;detail=12853163%3A1&amp;lang=zh</t>
  </si>
  <si>
    <t>Izzet Storm</t>
  </si>
  <si>
    <t>TonyScapone</t>
  </si>
  <si>
    <t>deck:741b00b977db4145d86a</t>
  </si>
  <si>
    <t>红蓝风暴 · TonyScapone · 第2名</t>
  </si>
  <si>
    <t>Izzet Storm · TonyScapone · Rank 2</t>
  </si>
  <si>
    <t>https://jacelber.github.io/mtgo-data/index.html?format=modern&amp;product=mtgo-top8&amp;week=2026-W35&amp;detail=12853163%3A2&amp;lang=zh</t>
  </si>
  <si>
    <t>Xwhale</t>
  </si>
  <si>
    <t>deck:bc5d4d3ab3814149a663</t>
  </si>
  <si>
    <t>艾斯波怨灵 · Xwhale · 第3名</t>
  </si>
  <si>
    <t>Esper Goryo's · Xwhale · Rank 3</t>
  </si>
  <si>
    <t>https://jacelber.github.io/mtgo-data/index.html?format=modern&amp;product=mtgo-top8&amp;week=2026-W35&amp;detail=12853163%3A3&amp;lang=zh</t>
  </si>
  <si>
    <t>DskBayWolf</t>
  </si>
  <si>
    <t>deck:219b7cc07c09e910f167</t>
  </si>
  <si>
    <t>艾斯波怨灵 · DskBayWolf · 第4名</t>
  </si>
  <si>
    <t>Esper Goryo's · DskBayWolf · Rank 4</t>
  </si>
  <si>
    <t>https://jacelber.github.io/mtgo-data/index.html?format=modern&amp;product=mtgo-top8&amp;week=2026-W35&amp;detail=12853163%3A4&amp;lang=zh</t>
  </si>
  <si>
    <t>musasabi</t>
  </si>
  <si>
    <t>deck:1843a94a4d7d9702cca5</t>
  </si>
  <si>
    <t>阿布赞缓伤 · musasabi · 第5名</t>
  </si>
  <si>
    <t>Abzan Devoted Druid Combo · musasabi · Rank 5</t>
  </si>
  <si>
    <t>https://jacelber.github.io/mtgo-data/index.html?format=modern&amp;product=mtgo-top8&amp;week=2026-W35&amp;detail=12853163%3A5&amp;lang=zh</t>
  </si>
  <si>
    <t>E90_DeliveryBoy</t>
  </si>
  <si>
    <t>deck:e22f4c27281dc31952f6</t>
  </si>
  <si>
    <t>纯蓝喷火炮 · E90_DeliveryBoy · 第7名</t>
  </si>
  <si>
    <t>Mono-Blue Belcher · E90_DeliveryBoy · Rank 7</t>
  </si>
  <si>
    <t>https://jacelber.github.io/mtgo-data/index.html?format=modern&amp;product=mtgo-top8&amp;week=2026-W35&amp;detail=12853163%3A7&amp;lang=zh</t>
  </si>
  <si>
    <t>deck:81eda537224b836bd1c4</t>
  </si>
  <si>
    <t>红宝石风暴 · Cachorrowo · 第8名</t>
  </si>
  <si>
    <t>Ruby Storm · Cachorrowo · Rank 8</t>
  </si>
  <si>
    <t>https://jacelber.github.io/mtgo-data/index.html?format=modern&amp;product=mtgo-top8&amp;week=2026-W35&amp;detail=12853163%3A8&amp;lang=zh</t>
  </si>
  <si>
    <t>Badgermole Combo</t>
  </si>
  <si>
    <t>elvin7</t>
  </si>
  <si>
    <t>deck:de5473a0b32c65e3be20</t>
  </si>
  <si>
    <t>纯绿獾地鼠 · elvin7 · 第1名</t>
  </si>
  <si>
    <t>Mono-Green Badgermole Combo · elvin7 · Rank 1</t>
  </si>
  <si>
    <t>https://jacelber.github.io/mtgo-data/index.html?format=modern&amp;product=mtgo-top8&amp;week=2026-W35&amp;detail=12853192%3A1&amp;lang=zh</t>
  </si>
  <si>
    <t>oosunq</t>
  </si>
  <si>
    <t>deck:391cbaa4929dffd7cedb</t>
  </si>
  <si>
    <t>艾斯波怨灵 · oosunq · 第2名</t>
  </si>
  <si>
    <t>Esper Goryo's · oosunq · Rank 2</t>
  </si>
  <si>
    <t>https://jacelber.github.io/mtgo-data/index.html?format=modern&amp;product=mtgo-top8&amp;week=2026-W35&amp;detail=12853192%3A2&amp;lang=zh</t>
  </si>
  <si>
    <t>therock988</t>
  </si>
  <si>
    <t>deck:562c435952cbb0aaf33f</t>
  </si>
  <si>
    <t>共鸣 · therock988 · 第3名</t>
  </si>
  <si>
    <t>Affinity · therock988 · Rank 3</t>
  </si>
  <si>
    <t>https://jacelber.github.io/mtgo-data/index.html?format=modern&amp;product=mtgo-top8&amp;week=2026-W35&amp;detail=12853192%3A3&amp;lang=zh</t>
  </si>
  <si>
    <t>AzNsOuL</t>
  </si>
  <si>
    <t>deck:199cba0681d00c6c0d80</t>
  </si>
  <si>
    <t>红白炸地 · AzNsOuL · 第4名</t>
  </si>
  <si>
    <t>Boros Ponza · AzNsOuL · Rank 4</t>
  </si>
  <si>
    <t>https://jacelber.github.io/mtgo-data/index.html?format=modern&amp;product=mtgo-top8&amp;week=2026-W35&amp;detail=12853192%3A4&amp;lang=zh</t>
  </si>
  <si>
    <t>bunnyfat</t>
  </si>
  <si>
    <t>deck:dbb0f169d972c5362fb4</t>
  </si>
  <si>
    <t>纯绿孳巢蜥 · bunnyfat · 第7名</t>
  </si>
  <si>
    <t>Mono-Green Broodscale Combo · bunnyfat · Rank 7</t>
  </si>
  <si>
    <t>https://jacelber.github.io/mtgo-data/index.html?format=modern&amp;product=mtgo-top8&amp;week=2026-W35&amp;detail=12853192%3A7&amp;lang=zh</t>
  </si>
  <si>
    <t>Darthkid</t>
  </si>
  <si>
    <t>deck:eea0da1986075edb5872</t>
  </si>
  <si>
    <t>操纵比赛 · Darthkid · 第8名</t>
  </si>
  <si>
    <t>Fight Rigging · Darthkid · Rank 8</t>
  </si>
  <si>
    <t>https://jacelber.github.io/mtgo-data/index.html?format=modern&amp;product=mtgo-top8&amp;week=2026-W35&amp;detail=12853192%3A8&amp;lang=zh</t>
  </si>
  <si>
    <t>Five-Color Ritual</t>
  </si>
  <si>
    <t>TingInTheRice</t>
  </si>
  <si>
    <t>deck:3c16717a8026fc3d48ab</t>
  </si>
  <si>
    <t>五色仪式 · TingInTheRice · 第1名</t>
  </si>
  <si>
    <t>Five-Color Ritual · TingInTheRice · Rank 1</t>
  </si>
  <si>
    <t>https://jacelber.github.io/mtgo-data/index.html?format=modern&amp;product=mtgo-top8&amp;week=2026-W35&amp;detail=12853197%3A1&amp;lang=zh</t>
  </si>
  <si>
    <t>Mono-Green Broodscale Combo · HelpfulHobo · Rank 2</t>
  </si>
  <si>
    <t>deck:d2682b85d98fbaade375</t>
  </si>
  <si>
    <t>黑奥札奇 · Selfeisek · 第3名</t>
  </si>
  <si>
    <t>Mono-Black Eldrazi · Selfeisek · Rank 3</t>
  </si>
  <si>
    <t>https://jacelber.github.io/mtgo-data/index.html?format=modern&amp;product=mtgo-top8&amp;week=2026-W35&amp;detail=12853197%3A3&amp;lang=zh</t>
  </si>
  <si>
    <t>Golgari Yawgmoth</t>
  </si>
  <si>
    <t>PETRICHOR21</t>
  </si>
  <si>
    <t>deck:29161c2603a596ae1739</t>
  </si>
  <si>
    <t>约哥 · PETRICHOR21 · 第4名</t>
  </si>
  <si>
    <t>Golgari Yawgmoth · PETRICHOR21 · Rank 4</t>
  </si>
  <si>
    <t>https://jacelber.github.io/mtgo-data/index.html?format=modern&amp;product=mtgo-top8&amp;week=2026-W35&amp;detail=12853197%3A4&amp;lang=zh</t>
  </si>
  <si>
    <t>deck:b249d013c63f5376dda2</t>
  </si>
  <si>
    <t>艾斯波怨灵 · jussupinator · 第5名</t>
  </si>
  <si>
    <t>Esper Goryo's · jussupinator · Rank 5</t>
  </si>
  <si>
    <t>https://jacelber.github.io/mtgo-data/index.html?format=modern&amp;product=mtgo-top8&amp;week=2026-W35&amp;detail=12853197%3A5&amp;lang=zh</t>
  </si>
  <si>
    <t>Rexplosion</t>
  </si>
  <si>
    <t>deck:145a4701109cc4d5aca4</t>
  </si>
  <si>
    <t>艾斯波怨灵 · Rexplosion · 第6名</t>
  </si>
  <si>
    <t>Esper Goryo's · Rexplosion · Rank 6</t>
  </si>
  <si>
    <t>https://jacelber.github.io/mtgo-data/index.html?format=modern&amp;product=mtgo-top8&amp;week=2026-W35&amp;detail=12853197%3A6&amp;lang=zh</t>
  </si>
  <si>
    <t>deck:e4afb696222a30e1dc42</t>
  </si>
  <si>
    <t>领土动物园 · KingOfGames1522 · 第7名</t>
  </si>
  <si>
    <t>Domain Zoo · KingOfGames1522 · Rank 7</t>
  </si>
  <si>
    <t>https://jacelber.github.io/mtgo-data/index.html?format=modern&amp;product=mtgo-top8&amp;week=2026-W35&amp;detail=12853197%3A7&amp;lang=zh</t>
  </si>
  <si>
    <t>deck:15b475ba17fd28a8db22</t>
  </si>
  <si>
    <t>藤蔓石椁 · HolaChico · 第8名</t>
  </si>
  <si>
    <t>Hollowvine · HolaChico · Rank 8</t>
  </si>
  <si>
    <t>https://jacelber.github.io/mtgo-data/index.html?format=modern&amp;product=mtgo-top8&amp;week=2026-W35&amp;detail=12853197%3A8&amp;lang=zh</t>
  </si>
  <si>
    <t>Modern Challenge 64 · 12853202</t>
  </si>
  <si>
    <t>SanPop</t>
  </si>
  <si>
    <t>deck:e147c9634049ff111803</t>
  </si>
  <si>
    <t>红宝石风暴 · SanPop · 第1名</t>
  </si>
  <si>
    <t>Ruby Storm · SanPop · Rank 1</t>
  </si>
  <si>
    <t>https://jacelber.github.io/mtgo-data/index.html?format=modern&amp;product=mtgo-top8&amp;week=2026-W35&amp;detail=12853202%3A1&amp;lang=zh</t>
  </si>
  <si>
    <t>wraaith</t>
  </si>
  <si>
    <t>deck:81a5933a9dd921d8e379</t>
  </si>
  <si>
    <t>纯绿奥塔 · wraaith · 第2名</t>
  </si>
  <si>
    <t>Mono-Green Eldrazi Tron · wraaith · Rank 2</t>
  </si>
  <si>
    <t>https://jacelber.github.io/mtgo-data/index.html?format=modern&amp;product=mtgo-top8&amp;week=2026-W35&amp;detail=12853202%3A2&amp;lang=zh</t>
  </si>
  <si>
    <t>Bayesta_93</t>
  </si>
  <si>
    <t>deck:181f4e5fcf58628dcdbd</t>
  </si>
  <si>
    <t>艾斯波怨灵 · Bayesta_93 · 第3名</t>
  </si>
  <si>
    <t>Esper Goryo's · Bayesta_93 · Rank 3</t>
  </si>
  <si>
    <t>https://jacelber.github.io/mtgo-data/index.html?format=modern&amp;product=mtgo-top8&amp;week=2026-W35&amp;detail=12853202%3A3&amp;lang=zh</t>
  </si>
  <si>
    <t>deck:a7e690d667a8a02cbc80</t>
  </si>
  <si>
    <t>红宝石风暴 · hugofreitas1 · 第4名</t>
  </si>
  <si>
    <t>Ruby Storm · hugofreitas1 · Rank 4</t>
  </si>
  <si>
    <t>https://jacelber.github.io/mtgo-data/index.html?format=modern&amp;product=mtgo-top8&amp;week=2026-W35&amp;detail=12853202%3A4&amp;lang=zh</t>
  </si>
  <si>
    <t>Grixis Persist</t>
  </si>
  <si>
    <t>innaig88</t>
  </si>
  <si>
    <t>deck:1639c49a7f05af5643d4</t>
  </si>
  <si>
    <t>格利极留存 · innaig88 · 第5名</t>
  </si>
  <si>
    <t>Grixis Persist · innaig88 · Rank 5</t>
  </si>
  <si>
    <t>https://jacelber.github.io/mtgo-data/index.html?format=modern&amp;product=mtgo-top8&amp;week=2026-W35&amp;detail=12853202%3A5&amp;lang=zh</t>
  </si>
  <si>
    <t>caronte1991</t>
  </si>
  <si>
    <t>deck:8e3eb0204e6c047e5c96</t>
  </si>
  <si>
    <t>红蓝灵技 · caronte1991 · 第6名</t>
  </si>
  <si>
    <t>Izzet Prowess · caronte1991 · Rank 6</t>
  </si>
  <si>
    <t>https://jacelber.github.io/mtgo-data/index.html?format=modern&amp;product=mtgo-top8&amp;week=2026-W35&amp;detail=12853202%3A6&amp;lang=zh</t>
  </si>
  <si>
    <t>deck:f6dd1394b67d2e8ada61</t>
  </si>
  <si>
    <t>纯绿孳巢蜥 · unagieel · 第7名</t>
  </si>
  <si>
    <t>Mono-Green Broodscale Combo · unagieel · Rank 7</t>
  </si>
  <si>
    <t>https://jacelber.github.io/mtgo-data/index.html?format=modern&amp;product=mtgo-top8&amp;week=2026-W35&amp;detail=12853202%3A7&amp;lang=zh</t>
  </si>
  <si>
    <t>SizzleSkeleton</t>
  </si>
  <si>
    <t>deck:dd883e490f190949af5d</t>
  </si>
  <si>
    <t>蓝黑节奏 · SizzleSkeleton · 第8名</t>
  </si>
  <si>
    <t>Dimir Tempo · SizzleSkeleton · Rank 8</t>
  </si>
  <si>
    <t>https://jacelber.github.io/mtgo-data/index.html?format=modern&amp;product=mtgo-top8&amp;week=2026-W35&amp;detail=12853202%3A8&amp;lang=zh</t>
  </si>
  <si>
    <t>2026-W35 · Field Guide · fields you enter or review</t>
  </si>
  <si>
    <t>本页只解释要填写的内容。不要修改蓝色机器事实；黄色是您的输入；绿色是 Codex 在中文阶段后提供的英文草稿。工作簿提交本身就是对应阶段的审核决定，不需要重复填写批准状态。</t>
  </si>
  <si>
    <t>Field</t>
  </si>
  <si>
    <t>Allowed / expected entry</t>
  </si>
  <si>
    <t>Owner action</t>
  </si>
  <si>
    <t>Effect</t>
  </si>
  <si>
    <t>Landing Copy · Review Result</t>
  </si>
  <si>
    <t>KEEP / DROP</t>
  </si>
  <si>
    <t>决定该段是否进入顶端文字</t>
  </si>
  <si>
    <t>只有 KEEP 会被导入</t>
  </si>
  <si>
    <t>Landing Copy · Order</t>
  </si>
  <si>
    <t>同一赛制内的正整数</t>
  </si>
  <si>
    <t>给 KEEP 段落排序</t>
  </si>
  <si>
    <t>决定最终展示顺序</t>
  </si>
  <si>
    <t>Landing Copy · Chinese Copy</t>
  </si>
  <si>
    <t>完整中文正文；引用牌表时使用 deck:20位ID</t>
  </si>
  <si>
    <t>先完成中文阶段</t>
  </si>
  <si>
    <t>精确 token 必须对应 KEEP Feature</t>
  </si>
  <si>
    <t>Landing Copy · English Draft</t>
  </si>
  <si>
    <t>Codex 草稿（绿色）</t>
  </si>
  <si>
    <t>中文确认后审阅</t>
  </si>
  <si>
    <t>不会在本阶段自动生成</t>
  </si>
  <si>
    <t>Landing Copy · English Final</t>
  </si>
  <si>
    <t>最终英文正文</t>
  </si>
  <si>
    <t>英文阶段确认或修改</t>
  </si>
  <si>
    <t>双语校验时必填</t>
  </si>
  <si>
    <t>Featured Decks · Selection</t>
  </si>
  <si>
    <t>KEEP / DROP；空白表示待决定</t>
  </si>
  <si>
    <t>逐个决定机器候选</t>
  </si>
  <si>
    <t>机器没有预设主推项</t>
  </si>
  <si>
    <t>Featured Decks · Category</t>
  </si>
  <si>
    <t>new_deck / new_technology</t>
  </si>
  <si>
    <t>确认或修改机器建议</t>
  </si>
  <si>
    <t>KEEP 行必须有效</t>
  </si>
  <si>
    <t>Featured Decks · Chinese Positioning</t>
  </si>
  <si>
    <t>针对该精确牌表的中文定位</t>
  </si>
  <si>
    <t>仅对 KEEP 行填写</t>
  </si>
  <si>
    <t>中文阶段必填</t>
  </si>
  <si>
    <t>Featured Decks · Featured Card 1–4</t>
  </si>
  <si>
    <t>该精确主牌或备牌中的四张不同单卡</t>
  </si>
  <si>
    <t>用于 Landing 套牌卡片</t>
  </si>
  <si>
    <t>Featured Decks · English Draft</t>
  </si>
  <si>
    <t>Featured Decks · English Final</t>
  </si>
  <si>
    <t>最终英文定位</t>
  </si>
  <si>
    <t>All Top 8 · Add to Featured?</t>
  </si>
  <si>
    <t>用于机器候选以外的牌表</t>
  </si>
  <si>
    <t>Codex 将精确牌表复制到 Featured Decks</t>
  </si>
  <si>
    <t>All Top 8 · Owner Note</t>
  </si>
  <si>
    <t>为什么需要追加</t>
  </si>
  <si>
    <t>给追加项简短说明</t>
  </si>
  <si>
    <t>帮助补齐后续定位</t>
  </si>
  <si>
    <t>Blue cells</t>
  </si>
  <si>
    <t>Machine-bound facts</t>
  </si>
  <si>
    <t>不要修改</t>
  </si>
  <si>
    <t>用于校验事件、牌表与分类身份</t>
  </si>
  <si>
    <t>Workflow stop</t>
  </si>
  <si>
    <t>提交后先做中文校验</t>
  </si>
  <si>
    <t>等待校验报告再进入英文阶段</t>
  </si>
  <si>
    <t>不会导入、提交、创建 PR 或运行 Pages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</si>
</sst>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7">
    <font>
      <sz val="11"/>
      <name val="Carlito"/>
      <charset val="134"/>
    </font>
    <font>
      <b/>
      <sz val="15"/>
      <color rgb="FFFFFFFF"/>
      <name val="Carlito"/>
      <charset val="134"/>
    </font>
    <font>
      <i/>
      <sz val="10"/>
      <color rgb="FF243746"/>
      <name val="Carlito"/>
      <charset val="134"/>
    </font>
    <font>
      <b/>
      <sz val="10"/>
      <color rgb="FFFFFFFF"/>
      <name val="Carlito"/>
      <charset val="134"/>
    </font>
    <font>
      <sz val="10"/>
      <color rgb="FF243746"/>
      <name val="Carlito"/>
      <charset val="134"/>
    </font>
    <font>
      <sz val="10"/>
      <color rgb="FF243746"/>
      <name val="宋体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285C78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CEC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8CBD8"/>
      </left>
      <right style="thin">
        <color rgb="FFB8CBD8"/>
      </right>
      <top style="thin">
        <color rgb="FFB8CBD8"/>
      </top>
      <bottom style="thin">
        <color rgb="FFB8CBD8"/>
      </bottom>
      <diagonal/>
    </border>
    <border>
      <left/>
      <right/>
      <top/>
      <bottom style="thin">
        <color rgb="FFB8CBD8"/>
      </bottom>
      <diagonal/>
    </border>
    <border>
      <left/>
      <right/>
      <top style="thin">
        <color rgb="FFB8CBD8"/>
      </top>
      <bottom style="thin">
        <color rgb="FFB8CBD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4" borderId="1" xfId="49" applyNumberFormat="1" applyFont="1" applyFill="1" applyBorder="1" applyAlignment="1">
      <alignment horizontal="center" vertical="center" wrapText="1"/>
    </xf>
    <xf numFmtId="0" fontId="4" fillId="5" borderId="2" xfId="49" applyNumberFormat="1" applyFont="1" applyFill="1" applyBorder="1" applyAlignment="1">
      <alignment vertical="top" wrapText="1"/>
    </xf>
    <xf numFmtId="0" fontId="4" fillId="6" borderId="2" xfId="49" applyNumberFormat="1" applyFont="1" applyFill="1" applyBorder="1" applyAlignment="1">
      <alignment vertical="top" wrapText="1"/>
    </xf>
    <xf numFmtId="0" fontId="4" fillId="5" borderId="3" xfId="49" applyNumberFormat="1" applyFont="1" applyFill="1" applyBorder="1" applyAlignment="1">
      <alignment vertical="top" wrapText="1"/>
    </xf>
    <xf numFmtId="0" fontId="4" fillId="6" borderId="3" xfId="49" applyNumberFormat="1" applyFont="1" applyFill="1" applyBorder="1" applyAlignment="1">
      <alignment vertical="top" wrapText="1"/>
    </xf>
    <xf numFmtId="0" fontId="4" fillId="7" borderId="2" xfId="49" applyNumberFormat="1" applyFont="1" applyFill="1" applyBorder="1" applyAlignment="1">
      <alignment vertical="top" wrapText="1"/>
    </xf>
    <xf numFmtId="1" fontId="4" fillId="7" borderId="2" xfId="49" applyNumberFormat="1" applyFont="1" applyFill="1" applyBorder="1" applyAlignment="1">
      <alignment vertical="top" wrapText="1"/>
    </xf>
    <xf numFmtId="0" fontId="4" fillId="7" borderId="3" xfId="49" applyNumberFormat="1" applyFont="1" applyFill="1" applyBorder="1" applyAlignment="1">
      <alignment vertical="top" wrapText="1"/>
    </xf>
    <xf numFmtId="1" fontId="4" fillId="7" borderId="3" xfId="49" applyNumberFormat="1" applyFont="1" applyFill="1" applyBorder="1" applyAlignment="1">
      <alignment vertical="top" wrapText="1"/>
    </xf>
    <xf numFmtId="0" fontId="5" fillId="6" borderId="3" xfId="49" applyNumberFormat="1" applyFont="1" applyFill="1" applyBorder="1" applyAlignment="1">
      <alignment vertical="top" wrapText="1"/>
    </xf>
    <xf numFmtId="0" fontId="5" fillId="6" borderId="2" xfId="49" applyNumberFormat="1" applyFont="1" applyFill="1" applyBorder="1" applyAlignment="1">
      <alignment vertical="top" wrapText="1"/>
    </xf>
    <xf numFmtId="0" fontId="4" fillId="8" borderId="2" xfId="49" applyNumberFormat="1" applyFont="1" applyFill="1" applyBorder="1" applyAlignment="1">
      <alignment vertical="top" wrapText="1"/>
    </xf>
    <xf numFmtId="0" fontId="4" fillId="8" borderId="3" xfId="49" applyNumberFormat="1" applyFont="1" applyFill="1" applyBorder="1" applyAlignment="1">
      <alignment vertical="top" wrapText="1"/>
    </xf>
    <xf numFmtId="1" fontId="4" fillId="6" borderId="2" xfId="49" applyNumberFormat="1" applyFont="1" applyFill="1" applyBorder="1" applyAlignment="1">
      <alignment vertical="top" wrapText="1"/>
    </xf>
    <xf numFmtId="1" fontId="4" fillId="6" borderId="3" xfId="49" applyNumberFormat="1" applyFont="1" applyFill="1" applyBorder="1" applyAlignment="1">
      <alignment vertical="top" wrapText="1"/>
    </xf>
    <xf numFmtId="0" fontId="6" fillId="2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showGridLines="0" workbookViewId="0">
      <selection activeCell="A1" sqref="A1:F1"/>
    </sheetView>
  </sheetViews>
  <sheetFormatPr defaultColWidth="9" defaultRowHeight="14" outlineLevelCol="5"/>
  <cols>
    <col min="1" max="1" width="30" customWidth="1"/>
    <col min="2" max="2" width="40" customWidth="1"/>
    <col min="3" max="3" width="54" customWidth="1"/>
    <col min="4" max="5" width="28" customWidth="1"/>
    <col min="6" max="6" width="30" customWidth="1"/>
  </cols>
  <sheetData>
    <row r="1" ht="30" customHeight="1" spans="1:6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ht="46" customHeight="1" spans="1:6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</row>
    <row r="4" spans="1: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40" customHeight="1" spans="1:6">
      <c r="A5" s="8" t="s">
        <v>8</v>
      </c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</row>
    <row r="6" ht="40" customHeight="1" spans="1:6">
      <c r="A6" s="10" t="s">
        <v>14</v>
      </c>
      <c r="B6" s="10" t="s">
        <v>9</v>
      </c>
      <c r="C6" s="10" t="s">
        <v>15</v>
      </c>
      <c r="D6" s="10" t="s">
        <v>11</v>
      </c>
      <c r="E6" s="10" t="s">
        <v>12</v>
      </c>
      <c r="F6" s="10" t="s">
        <v>13</v>
      </c>
    </row>
    <row r="8" spans="1:6">
      <c r="A8" s="18" t="s">
        <v>16</v>
      </c>
      <c r="B8" s="18" t="s">
        <v>16</v>
      </c>
      <c r="C8" s="18" t="s">
        <v>16</v>
      </c>
      <c r="D8" s="18" t="s">
        <v>16</v>
      </c>
      <c r="E8" s="18" t="s">
        <v>16</v>
      </c>
      <c r="F8" s="18" t="s">
        <v>16</v>
      </c>
    </row>
    <row r="9" spans="1:6">
      <c r="A9" s="3" t="s">
        <v>17</v>
      </c>
      <c r="B9" s="3" t="s">
        <v>18</v>
      </c>
      <c r="C9" s="3" t="s">
        <v>19</v>
      </c>
    </row>
    <row r="10" ht="31" customHeight="1" spans="1:6">
      <c r="A10" s="4" t="s">
        <v>20</v>
      </c>
      <c r="B10" s="14" t="s">
        <v>9</v>
      </c>
      <c r="C10" s="4" t="s">
        <v>21</v>
      </c>
    </row>
    <row r="11" ht="46" customHeight="1" spans="1:6">
      <c r="A11" s="6" t="s">
        <v>22</v>
      </c>
      <c r="B11" s="15" t="s">
        <v>23</v>
      </c>
      <c r="C11" s="6" t="s">
        <v>24</v>
      </c>
    </row>
    <row r="12" ht="46" customHeight="1" spans="1:6">
      <c r="A12" s="6" t="s">
        <v>25</v>
      </c>
      <c r="B12" s="15" t="s">
        <v>26</v>
      </c>
      <c r="C12" s="6" t="s">
        <v>27</v>
      </c>
    </row>
    <row r="13" ht="31" customHeight="1" spans="1:6">
      <c r="A13" s="6" t="s">
        <v>28</v>
      </c>
      <c r="B13" s="15">
        <v>10</v>
      </c>
      <c r="C13" s="6" t="s">
        <v>29</v>
      </c>
    </row>
    <row r="14" ht="31" customHeight="1" spans="1:6">
      <c r="A14" s="6" t="s">
        <v>30</v>
      </c>
      <c r="B14" s="15">
        <v>9</v>
      </c>
      <c r="C14" s="6" t="s">
        <v>29</v>
      </c>
    </row>
    <row r="15" ht="31" customHeight="1" spans="1:6">
      <c r="A15" s="6" t="s">
        <v>31</v>
      </c>
      <c r="B15" s="15">
        <v>168</v>
      </c>
      <c r="C15" s="6" t="s">
        <v>32</v>
      </c>
    </row>
    <row r="16" ht="31" customHeight="1" spans="1:6">
      <c r="A16" s="6" t="s">
        <v>33</v>
      </c>
      <c r="B16" s="15">
        <f>COUNTIF('Landing Copy'!A5:A20,"KEEP")</f>
        <v>5</v>
      </c>
      <c r="C16" s="6" t="s">
        <v>34</v>
      </c>
    </row>
    <row r="17" ht="31" customHeight="1" spans="1:3">
      <c r="A17" s="6" t="s">
        <v>35</v>
      </c>
      <c r="B17" s="15">
        <f>COUNTIF('Featured Decks'!A5:A23,"KEEP")</f>
        <v>0</v>
      </c>
      <c r="C17" s="6" t="s">
        <v>36</v>
      </c>
    </row>
    <row r="18" ht="31" customHeight="1" spans="1:3">
      <c r="A18" s="6" t="s">
        <v>37</v>
      </c>
      <c r="B18" s="15">
        <f>COUNTIF('Featured Decks'!W5:W23,"INCOMPLETE")</f>
        <v>0</v>
      </c>
      <c r="C18" s="6" t="s">
        <v>38</v>
      </c>
    </row>
    <row r="19" ht="31" customHeight="1" spans="1:3">
      <c r="A19" s="6" t="s">
        <v>39</v>
      </c>
      <c r="B19" s="15">
        <f>COUNTIFS('Landing Copy'!A5:A20,"KEEP",'Landing Copy'!D5:D20,"")</f>
        <v>0</v>
      </c>
      <c r="C19" s="6" t="s">
        <v>40</v>
      </c>
    </row>
    <row r="20" ht="31" customHeight="1" spans="1:3">
      <c r="A20" s="6" t="s">
        <v>41</v>
      </c>
      <c r="B20" s="15" t="s">
        <v>42</v>
      </c>
      <c r="C20" s="6" t="s">
        <v>43</v>
      </c>
    </row>
  </sheetData>
  <mergeCells count="3">
    <mergeCell ref="A1:F1"/>
    <mergeCell ref="A2:F2"/>
    <mergeCell ref="A8:F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showGridLines="0" tabSelected="1" workbookViewId="0">
      <selection activeCell="D14" sqref="D14"/>
    </sheetView>
  </sheetViews>
  <sheetFormatPr defaultColWidth="9" defaultRowHeight="14"/>
  <cols>
    <col min="1" max="1" width="18" customWidth="1"/>
    <col min="2" max="2" width="10" customWidth="1"/>
    <col min="3" max="3" width="12" customWidth="1"/>
    <col min="4" max="5" width="58" customWidth="1"/>
    <col min="6" max="6" width="52" customWidth="1"/>
    <col min="7" max="7" width="34" customWidth="1"/>
    <col min="8" max="8" width="12" customWidth="1"/>
    <col min="9" max="9" width="8" customWidth="1"/>
    <col min="10" max="10" width="28" customWidth="1"/>
    <col min="11" max="11" width="22" customWidth="1"/>
    <col min="12" max="12" width="28" customWidth="1"/>
  </cols>
  <sheetData>
    <row r="1" ht="30" customHeight="1" spans="1:12">
      <c r="A1" s="1" t="s">
        <v>44</v>
      </c>
      <c r="B1" s="1" t="s">
        <v>44</v>
      </c>
      <c r="C1" s="1" t="s">
        <v>44</v>
      </c>
      <c r="D1" s="1" t="s">
        <v>44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</row>
    <row r="2" ht="46" customHeight="1" spans="1:12">
      <c r="A2" s="2" t="s">
        <v>45</v>
      </c>
      <c r="B2" s="2" t="s">
        <v>45</v>
      </c>
      <c r="C2" s="2" t="s">
        <v>45</v>
      </c>
      <c r="D2" s="2" t="s">
        <v>45</v>
      </c>
      <c r="E2" s="2" t="s">
        <v>45</v>
      </c>
      <c r="F2" s="2" t="s">
        <v>45</v>
      </c>
      <c r="G2" s="2" t="s">
        <v>45</v>
      </c>
      <c r="H2" s="2" t="s">
        <v>45</v>
      </c>
      <c r="I2" s="2" t="s">
        <v>45</v>
      </c>
      <c r="J2" s="2" t="s">
        <v>45</v>
      </c>
      <c r="K2" s="2" t="s">
        <v>45</v>
      </c>
      <c r="L2" s="2" t="s">
        <v>45</v>
      </c>
    </row>
    <row r="4" spans="1:12">
      <c r="A4" s="3" t="s">
        <v>46</v>
      </c>
      <c r="B4" s="3" t="s">
        <v>47</v>
      </c>
      <c r="C4" s="3" t="s">
        <v>2</v>
      </c>
      <c r="D4" s="3" t="s">
        <v>48</v>
      </c>
      <c r="E4" s="3" t="s">
        <v>49</v>
      </c>
      <c r="F4" s="3" t="s">
        <v>50</v>
      </c>
    </row>
    <row r="5" ht="70" customHeight="1" spans="1:12">
      <c r="A5" s="5" t="s">
        <v>51</v>
      </c>
      <c r="B5" s="16">
        <v>1</v>
      </c>
      <c r="C5" s="8" t="s">
        <v>8</v>
      </c>
      <c r="D5" s="13" t="s">
        <v>52</v>
      </c>
      <c r="E5" s="14" t="s">
        <v>53</v>
      </c>
      <c r="F5" s="5" t="s">
        <v>53</v>
      </c>
    </row>
    <row r="6" ht="70" customHeight="1" spans="1:12">
      <c r="A6" s="7" t="s">
        <v>51</v>
      </c>
      <c r="B6" s="17">
        <v>2</v>
      </c>
      <c r="C6" s="10" t="s">
        <v>8</v>
      </c>
      <c r="D6" s="12" t="s">
        <v>54</v>
      </c>
      <c r="E6" s="15" t="s">
        <v>53</v>
      </c>
      <c r="F6" s="7" t="s">
        <v>53</v>
      </c>
    </row>
    <row r="7" ht="70" customHeight="1" spans="1:12">
      <c r="A7" s="7" t="s">
        <v>51</v>
      </c>
      <c r="B7" s="17">
        <v>3</v>
      </c>
      <c r="C7" s="10" t="s">
        <v>8</v>
      </c>
      <c r="D7" s="12" t="s">
        <v>55</v>
      </c>
      <c r="E7" s="15" t="s">
        <v>53</v>
      </c>
      <c r="F7" s="7" t="s">
        <v>53</v>
      </c>
    </row>
    <row r="8" ht="70" customHeight="1" spans="1:12">
      <c r="A8" s="7" t="s">
        <v>53</v>
      </c>
      <c r="B8" s="17" t="s">
        <v>53</v>
      </c>
      <c r="C8" s="10" t="s">
        <v>8</v>
      </c>
      <c r="D8" s="7" t="s">
        <v>53</v>
      </c>
      <c r="E8" s="15" t="s">
        <v>53</v>
      </c>
      <c r="F8" s="7" t="s">
        <v>53</v>
      </c>
    </row>
    <row r="9" ht="70" customHeight="1" spans="1:12">
      <c r="A9" s="7" t="s">
        <v>53</v>
      </c>
      <c r="B9" s="17" t="s">
        <v>53</v>
      </c>
      <c r="C9" s="10" t="s">
        <v>8</v>
      </c>
      <c r="D9" s="7" t="s">
        <v>53</v>
      </c>
      <c r="E9" s="15" t="s">
        <v>53</v>
      </c>
      <c r="F9" s="7" t="s">
        <v>53</v>
      </c>
    </row>
    <row r="10" ht="70" customHeight="1" spans="1:12">
      <c r="A10" s="7" t="s">
        <v>53</v>
      </c>
      <c r="B10" s="17" t="s">
        <v>53</v>
      </c>
      <c r="C10" s="10" t="s">
        <v>8</v>
      </c>
      <c r="D10" s="7" t="s">
        <v>53</v>
      </c>
      <c r="E10" s="15" t="s">
        <v>53</v>
      </c>
      <c r="F10" s="7" t="s">
        <v>53</v>
      </c>
    </row>
    <row r="11" ht="70" customHeight="1" spans="1:12">
      <c r="A11" s="7" t="s">
        <v>53</v>
      </c>
      <c r="B11" s="17" t="s">
        <v>53</v>
      </c>
      <c r="C11" s="10" t="s">
        <v>8</v>
      </c>
      <c r="D11" s="7" t="s">
        <v>53</v>
      </c>
      <c r="E11" s="15" t="s">
        <v>53</v>
      </c>
      <c r="F11" s="7" t="s">
        <v>53</v>
      </c>
    </row>
    <row r="12" ht="70" customHeight="1" spans="1:12">
      <c r="A12" s="7" t="s">
        <v>53</v>
      </c>
      <c r="B12" s="17" t="s">
        <v>53</v>
      </c>
      <c r="C12" s="10" t="s">
        <v>8</v>
      </c>
      <c r="D12" s="7" t="s">
        <v>53</v>
      </c>
      <c r="E12" s="15" t="s">
        <v>53</v>
      </c>
      <c r="F12" s="7" t="s">
        <v>53</v>
      </c>
    </row>
    <row r="13" ht="70" customHeight="1" spans="1:12">
      <c r="A13" s="7" t="s">
        <v>51</v>
      </c>
      <c r="B13" s="17">
        <v>1</v>
      </c>
      <c r="C13" s="10" t="s">
        <v>14</v>
      </c>
      <c r="D13" s="12" t="s">
        <v>56</v>
      </c>
      <c r="E13" s="15" t="s">
        <v>53</v>
      </c>
      <c r="F13" s="7" t="s">
        <v>53</v>
      </c>
    </row>
    <row r="14" ht="70" customHeight="1" spans="1:12">
      <c r="A14" s="7" t="s">
        <v>51</v>
      </c>
      <c r="B14" s="17">
        <v>2</v>
      </c>
      <c r="C14" s="10" t="s">
        <v>14</v>
      </c>
      <c r="D14" s="12" t="s">
        <v>57</v>
      </c>
      <c r="E14" s="15" t="s">
        <v>53</v>
      </c>
      <c r="F14" s="7" t="s">
        <v>53</v>
      </c>
    </row>
    <row r="15" ht="70" customHeight="1" spans="1:12">
      <c r="A15" s="7" t="s">
        <v>53</v>
      </c>
      <c r="B15" s="17" t="s">
        <v>53</v>
      </c>
      <c r="C15" s="10" t="s">
        <v>14</v>
      </c>
      <c r="D15" s="7" t="s">
        <v>53</v>
      </c>
      <c r="E15" s="15" t="s">
        <v>53</v>
      </c>
      <c r="F15" s="7" t="s">
        <v>53</v>
      </c>
    </row>
    <row r="16" ht="70" customHeight="1" spans="1:12">
      <c r="A16" s="7" t="s">
        <v>53</v>
      </c>
      <c r="B16" s="17" t="s">
        <v>53</v>
      </c>
      <c r="C16" s="10" t="s">
        <v>14</v>
      </c>
      <c r="D16" s="7" t="s">
        <v>53</v>
      </c>
      <c r="E16" s="15" t="s">
        <v>53</v>
      </c>
      <c r="F16" s="7" t="s">
        <v>53</v>
      </c>
    </row>
    <row r="17" ht="70" customHeight="1" spans="1:12">
      <c r="A17" s="7" t="s">
        <v>53</v>
      </c>
      <c r="B17" s="17" t="s">
        <v>53</v>
      </c>
      <c r="C17" s="10" t="s">
        <v>14</v>
      </c>
      <c r="D17" s="7" t="s">
        <v>53</v>
      </c>
      <c r="E17" s="15" t="s">
        <v>53</v>
      </c>
      <c r="F17" s="7" t="s">
        <v>53</v>
      </c>
    </row>
    <row r="18" ht="70" customHeight="1" spans="1:12">
      <c r="A18" s="7" t="s">
        <v>53</v>
      </c>
      <c r="B18" s="17" t="s">
        <v>53</v>
      </c>
      <c r="C18" s="10" t="s">
        <v>14</v>
      </c>
      <c r="D18" s="7" t="s">
        <v>53</v>
      </c>
      <c r="E18" s="15" t="s">
        <v>53</v>
      </c>
      <c r="F18" s="7" t="s">
        <v>53</v>
      </c>
    </row>
    <row r="19" ht="70" customHeight="1" spans="1:12">
      <c r="A19" s="7" t="s">
        <v>53</v>
      </c>
      <c r="B19" s="17" t="s">
        <v>53</v>
      </c>
      <c r="C19" s="10" t="s">
        <v>14</v>
      </c>
      <c r="D19" s="7" t="s">
        <v>53</v>
      </c>
      <c r="E19" s="15" t="s">
        <v>53</v>
      </c>
      <c r="F19" s="7" t="s">
        <v>53</v>
      </c>
    </row>
    <row r="20" ht="70" customHeight="1" spans="1:12">
      <c r="A20" s="7" t="s">
        <v>53</v>
      </c>
      <c r="B20" s="17" t="s">
        <v>53</v>
      </c>
      <c r="C20" s="10" t="s">
        <v>14</v>
      </c>
      <c r="D20" s="7" t="s">
        <v>53</v>
      </c>
      <c r="E20" s="15" t="s">
        <v>53</v>
      </c>
      <c r="F20" s="7" t="s">
        <v>53</v>
      </c>
    </row>
    <row r="22" spans="1:12">
      <c r="A22" s="18" t="s">
        <v>58</v>
      </c>
      <c r="B22" s="18" t="s">
        <v>58</v>
      </c>
      <c r="C22" s="18" t="s">
        <v>58</v>
      </c>
      <c r="D22" s="18" t="s">
        <v>58</v>
      </c>
      <c r="E22" s="18" t="s">
        <v>58</v>
      </c>
      <c r="F22" s="18" t="s">
        <v>58</v>
      </c>
      <c r="G22" s="18" t="s">
        <v>58</v>
      </c>
      <c r="H22" s="18" t="s">
        <v>58</v>
      </c>
      <c r="I22" s="18" t="s">
        <v>58</v>
      </c>
      <c r="J22" s="18" t="s">
        <v>58</v>
      </c>
      <c r="K22" s="18" t="s">
        <v>58</v>
      </c>
      <c r="L22" s="18" t="s">
        <v>58</v>
      </c>
    </row>
    <row r="23" ht="26" spans="1:12">
      <c r="A23" s="3" t="s">
        <v>59</v>
      </c>
      <c r="B23" s="3" t="s">
        <v>60</v>
      </c>
      <c r="C23" s="3" t="s">
        <v>2</v>
      </c>
      <c r="D23" s="3" t="s">
        <v>61</v>
      </c>
      <c r="E23" s="3" t="s">
        <v>62</v>
      </c>
      <c r="F23" s="3" t="s">
        <v>63</v>
      </c>
      <c r="G23" s="3" t="s">
        <v>64</v>
      </c>
      <c r="H23" s="3" t="s">
        <v>65</v>
      </c>
      <c r="I23" s="3" t="s">
        <v>66</v>
      </c>
      <c r="J23" s="3" t="s">
        <v>67</v>
      </c>
      <c r="K23" s="3" t="s">
        <v>68</v>
      </c>
      <c r="L23" s="3" t="s">
        <v>69</v>
      </c>
    </row>
    <row r="24" ht="34" customHeight="1" spans="1:12">
      <c r="A24" s="8" t="s">
        <v>70</v>
      </c>
      <c r="B24" s="8" t="s">
        <v>9</v>
      </c>
      <c r="C24" s="8" t="s">
        <v>8</v>
      </c>
      <c r="D24" s="8" t="s">
        <v>71</v>
      </c>
      <c r="E24" s="8" t="s">
        <v>72</v>
      </c>
      <c r="F24" s="8" t="s">
        <v>73</v>
      </c>
      <c r="G24" s="8" t="s">
        <v>74</v>
      </c>
      <c r="H24" s="8" t="s">
        <v>75</v>
      </c>
      <c r="I24" s="8">
        <v>1</v>
      </c>
      <c r="J24" s="8" t="s">
        <v>76</v>
      </c>
      <c r="K24" s="8" t="s">
        <v>77</v>
      </c>
      <c r="L24" s="8" t="s">
        <v>78</v>
      </c>
    </row>
    <row r="25" ht="34" customHeight="1" spans="1:12">
      <c r="A25" s="10" t="s">
        <v>70</v>
      </c>
      <c r="B25" s="10" t="s">
        <v>9</v>
      </c>
      <c r="C25" s="10" t="s">
        <v>8</v>
      </c>
      <c r="D25" s="10" t="s">
        <v>79</v>
      </c>
      <c r="E25" s="10" t="s">
        <v>80</v>
      </c>
      <c r="F25" s="10" t="s">
        <v>81</v>
      </c>
      <c r="G25" s="10" t="s">
        <v>82</v>
      </c>
      <c r="H25" s="10" t="s">
        <v>83</v>
      </c>
      <c r="I25" s="10">
        <v>1</v>
      </c>
      <c r="J25" s="10" t="s">
        <v>84</v>
      </c>
      <c r="K25" s="10" t="s">
        <v>85</v>
      </c>
      <c r="L25" s="10" t="s">
        <v>86</v>
      </c>
    </row>
    <row r="26" ht="34" customHeight="1" spans="1:12">
      <c r="A26" s="10" t="s">
        <v>70</v>
      </c>
      <c r="B26" s="10" t="s">
        <v>9</v>
      </c>
      <c r="C26" s="10" t="s">
        <v>8</v>
      </c>
      <c r="D26" s="10" t="s">
        <v>87</v>
      </c>
      <c r="E26" s="10" t="s">
        <v>88</v>
      </c>
      <c r="F26" s="10" t="s">
        <v>89</v>
      </c>
      <c r="G26" s="10" t="s">
        <v>90</v>
      </c>
      <c r="H26" s="10" t="s">
        <v>91</v>
      </c>
      <c r="I26" s="10">
        <v>2</v>
      </c>
      <c r="J26" s="10" t="s">
        <v>92</v>
      </c>
      <c r="K26" s="10" t="s">
        <v>93</v>
      </c>
      <c r="L26" s="10" t="s">
        <v>94</v>
      </c>
    </row>
    <row r="27" ht="34" customHeight="1" spans="1:12">
      <c r="A27" s="10" t="s">
        <v>70</v>
      </c>
      <c r="B27" s="10" t="s">
        <v>9</v>
      </c>
      <c r="C27" s="10" t="s">
        <v>8</v>
      </c>
      <c r="D27" s="10" t="s">
        <v>95</v>
      </c>
      <c r="E27" s="10" t="s">
        <v>96</v>
      </c>
      <c r="F27" s="10" t="s">
        <v>97</v>
      </c>
      <c r="G27" s="10" t="s">
        <v>98</v>
      </c>
      <c r="H27" s="10" t="s">
        <v>99</v>
      </c>
      <c r="I27" s="10">
        <v>2</v>
      </c>
      <c r="J27" s="10" t="s">
        <v>100</v>
      </c>
      <c r="K27" s="10" t="s">
        <v>101</v>
      </c>
      <c r="L27" s="10" t="s">
        <v>102</v>
      </c>
    </row>
    <row r="28" ht="34" customHeight="1" spans="1:12">
      <c r="A28" s="10" t="s">
        <v>70</v>
      </c>
      <c r="B28" s="10" t="s">
        <v>9</v>
      </c>
      <c r="C28" s="10" t="s">
        <v>8</v>
      </c>
      <c r="D28" s="10" t="s">
        <v>103</v>
      </c>
      <c r="E28" s="10" t="s">
        <v>104</v>
      </c>
      <c r="F28" s="10" t="s">
        <v>105</v>
      </c>
      <c r="G28" s="10" t="s">
        <v>98</v>
      </c>
      <c r="H28" s="10" t="s">
        <v>99</v>
      </c>
      <c r="I28" s="10">
        <v>4</v>
      </c>
      <c r="J28" s="10" t="s">
        <v>106</v>
      </c>
      <c r="K28" s="10" t="s">
        <v>107</v>
      </c>
      <c r="L28" s="10" t="s">
        <v>108</v>
      </c>
    </row>
    <row r="29" ht="34" customHeight="1" spans="1:12">
      <c r="A29" s="10" t="s">
        <v>70</v>
      </c>
      <c r="B29" s="10" t="s">
        <v>9</v>
      </c>
      <c r="C29" s="10" t="s">
        <v>8</v>
      </c>
      <c r="D29" s="10" t="s">
        <v>109</v>
      </c>
      <c r="E29" s="10" t="s">
        <v>110</v>
      </c>
      <c r="F29" s="10" t="s">
        <v>111</v>
      </c>
      <c r="G29" s="10" t="s">
        <v>98</v>
      </c>
      <c r="H29" s="10" t="s">
        <v>99</v>
      </c>
      <c r="I29" s="10">
        <v>5</v>
      </c>
      <c r="J29" s="10" t="s">
        <v>84</v>
      </c>
      <c r="K29" s="10" t="s">
        <v>112</v>
      </c>
      <c r="L29" s="10" t="s">
        <v>113</v>
      </c>
    </row>
    <row r="30" ht="34" customHeight="1" spans="1:12">
      <c r="A30" s="10" t="s">
        <v>70</v>
      </c>
      <c r="B30" s="10" t="s">
        <v>9</v>
      </c>
      <c r="C30" s="10" t="s">
        <v>8</v>
      </c>
      <c r="D30" s="10" t="s">
        <v>114</v>
      </c>
      <c r="E30" s="10" t="s">
        <v>115</v>
      </c>
      <c r="F30" s="10" t="s">
        <v>116</v>
      </c>
      <c r="G30" s="10" t="s">
        <v>98</v>
      </c>
      <c r="H30" s="10" t="s">
        <v>99</v>
      </c>
      <c r="I30" s="10">
        <v>6</v>
      </c>
      <c r="J30" s="10" t="s">
        <v>117</v>
      </c>
      <c r="K30" s="10" t="s">
        <v>118</v>
      </c>
      <c r="L30" s="10" t="s">
        <v>119</v>
      </c>
    </row>
    <row r="31" ht="34" customHeight="1" spans="1:12">
      <c r="A31" s="10" t="s">
        <v>70</v>
      </c>
      <c r="B31" s="10" t="s">
        <v>9</v>
      </c>
      <c r="C31" s="10" t="s">
        <v>8</v>
      </c>
      <c r="D31" s="10" t="s">
        <v>120</v>
      </c>
      <c r="E31" s="10" t="s">
        <v>121</v>
      </c>
      <c r="F31" s="10" t="s">
        <v>122</v>
      </c>
      <c r="G31" s="10" t="s">
        <v>90</v>
      </c>
      <c r="H31" s="10" t="s">
        <v>91</v>
      </c>
      <c r="I31" s="10">
        <v>6</v>
      </c>
      <c r="J31" s="10" t="s">
        <v>123</v>
      </c>
      <c r="K31" s="10" t="s">
        <v>124</v>
      </c>
      <c r="L31" s="10" t="s">
        <v>125</v>
      </c>
    </row>
    <row r="32" ht="34" customHeight="1" spans="1:12">
      <c r="A32" s="10" t="s">
        <v>70</v>
      </c>
      <c r="B32" s="10" t="s">
        <v>9</v>
      </c>
      <c r="C32" s="10" t="s">
        <v>8</v>
      </c>
      <c r="D32" s="10" t="s">
        <v>126</v>
      </c>
      <c r="E32" s="10" t="s">
        <v>127</v>
      </c>
      <c r="F32" s="10" t="s">
        <v>128</v>
      </c>
      <c r="G32" s="10" t="s">
        <v>82</v>
      </c>
      <c r="H32" s="10" t="s">
        <v>83</v>
      </c>
      <c r="I32" s="10">
        <v>8</v>
      </c>
      <c r="J32" s="10" t="s">
        <v>129</v>
      </c>
      <c r="K32" s="10" t="s">
        <v>130</v>
      </c>
      <c r="L32" s="10" t="s">
        <v>131</v>
      </c>
    </row>
    <row r="33" ht="34" customHeight="1" spans="1:12">
      <c r="A33" s="10" t="s">
        <v>70</v>
      </c>
      <c r="B33" s="10" t="s">
        <v>9</v>
      </c>
      <c r="C33" s="10" t="s">
        <v>8</v>
      </c>
      <c r="D33" s="10" t="s">
        <v>132</v>
      </c>
      <c r="E33" s="10" t="s">
        <v>133</v>
      </c>
      <c r="F33" s="10" t="s">
        <v>134</v>
      </c>
      <c r="G33" s="10" t="s">
        <v>74</v>
      </c>
      <c r="H33" s="10" t="s">
        <v>75</v>
      </c>
      <c r="I33" s="10">
        <v>8</v>
      </c>
      <c r="J33" s="10" t="s">
        <v>92</v>
      </c>
      <c r="K33" s="10" t="s">
        <v>135</v>
      </c>
      <c r="L33" s="10" t="s">
        <v>136</v>
      </c>
    </row>
    <row r="34" ht="34" customHeight="1" spans="1:12">
      <c r="A34" s="10" t="s">
        <v>70</v>
      </c>
      <c r="B34" s="10" t="s">
        <v>9</v>
      </c>
      <c r="C34" s="10" t="s">
        <v>14</v>
      </c>
      <c r="D34" s="10" t="s">
        <v>137</v>
      </c>
      <c r="E34" s="10" t="s">
        <v>138</v>
      </c>
      <c r="F34" s="10" t="s">
        <v>139</v>
      </c>
      <c r="G34" s="10" t="s">
        <v>140</v>
      </c>
      <c r="H34" s="10" t="s">
        <v>99</v>
      </c>
      <c r="I34" s="10">
        <v>7</v>
      </c>
      <c r="J34" s="10" t="s">
        <v>141</v>
      </c>
      <c r="K34" s="10" t="s">
        <v>142</v>
      </c>
      <c r="L34" s="10" t="s">
        <v>143</v>
      </c>
    </row>
    <row r="35" ht="34" customHeight="1" spans="1:12">
      <c r="A35" s="10" t="s">
        <v>70</v>
      </c>
      <c r="B35" s="10" t="s">
        <v>9</v>
      </c>
      <c r="C35" s="10" t="s">
        <v>14</v>
      </c>
      <c r="D35" s="10" t="s">
        <v>144</v>
      </c>
      <c r="E35" s="10" t="s">
        <v>145</v>
      </c>
      <c r="F35" s="10" t="s">
        <v>146</v>
      </c>
      <c r="G35" s="10" t="s">
        <v>147</v>
      </c>
      <c r="H35" s="10" t="s">
        <v>91</v>
      </c>
      <c r="I35" s="10">
        <v>2</v>
      </c>
      <c r="J35" s="10" t="s">
        <v>148</v>
      </c>
      <c r="K35" s="10" t="s">
        <v>149</v>
      </c>
      <c r="L35" s="10" t="s">
        <v>150</v>
      </c>
    </row>
    <row r="36" ht="34" customHeight="1" spans="1:12">
      <c r="A36" s="10" t="s">
        <v>70</v>
      </c>
      <c r="B36" s="10" t="s">
        <v>9</v>
      </c>
      <c r="C36" s="10" t="s">
        <v>14</v>
      </c>
      <c r="D36" s="10" t="s">
        <v>151</v>
      </c>
      <c r="E36" s="10" t="s">
        <v>152</v>
      </c>
      <c r="F36" s="10" t="s">
        <v>153</v>
      </c>
      <c r="G36" s="10" t="s">
        <v>154</v>
      </c>
      <c r="H36" s="10" t="s">
        <v>155</v>
      </c>
      <c r="I36" s="10">
        <v>2</v>
      </c>
      <c r="J36" s="10" t="s">
        <v>156</v>
      </c>
      <c r="K36" s="10" t="s">
        <v>157</v>
      </c>
      <c r="L36" s="10" t="s">
        <v>158</v>
      </c>
    </row>
    <row r="37" ht="34" customHeight="1" spans="1:12">
      <c r="A37" s="10" t="s">
        <v>70</v>
      </c>
      <c r="B37" s="10" t="s">
        <v>9</v>
      </c>
      <c r="C37" s="10" t="s">
        <v>14</v>
      </c>
      <c r="D37" s="10" t="s">
        <v>159</v>
      </c>
      <c r="E37" s="10" t="s">
        <v>160</v>
      </c>
      <c r="F37" s="10" t="s">
        <v>161</v>
      </c>
      <c r="G37" s="10" t="s">
        <v>162</v>
      </c>
      <c r="H37" s="10" t="s">
        <v>163</v>
      </c>
      <c r="I37" s="10">
        <v>3</v>
      </c>
      <c r="J37" s="10" t="s">
        <v>164</v>
      </c>
      <c r="K37" s="10" t="s">
        <v>165</v>
      </c>
      <c r="L37" s="10" t="s">
        <v>166</v>
      </c>
    </row>
    <row r="38" ht="34" customHeight="1" spans="1:12">
      <c r="A38" s="10" t="s">
        <v>70</v>
      </c>
      <c r="B38" s="10" t="s">
        <v>9</v>
      </c>
      <c r="C38" s="10" t="s">
        <v>14</v>
      </c>
      <c r="D38" s="10" t="s">
        <v>167</v>
      </c>
      <c r="E38" s="10" t="s">
        <v>168</v>
      </c>
      <c r="F38" s="10" t="s">
        <v>169</v>
      </c>
      <c r="G38" s="10" t="s">
        <v>170</v>
      </c>
      <c r="H38" s="10" t="s">
        <v>171</v>
      </c>
      <c r="I38" s="10">
        <v>5</v>
      </c>
      <c r="J38" s="10" t="s">
        <v>172</v>
      </c>
      <c r="K38" s="10" t="s">
        <v>173</v>
      </c>
      <c r="L38" s="10" t="s">
        <v>174</v>
      </c>
    </row>
    <row r="39" ht="34" customHeight="1" spans="1:12">
      <c r="A39" s="10" t="s">
        <v>70</v>
      </c>
      <c r="B39" s="10" t="s">
        <v>9</v>
      </c>
      <c r="C39" s="10" t="s">
        <v>14</v>
      </c>
      <c r="D39" s="10" t="s">
        <v>175</v>
      </c>
      <c r="E39" s="10" t="s">
        <v>176</v>
      </c>
      <c r="F39" s="10" t="s">
        <v>177</v>
      </c>
      <c r="G39" s="10" t="s">
        <v>178</v>
      </c>
      <c r="H39" s="10" t="s">
        <v>171</v>
      </c>
      <c r="I39" s="10">
        <v>6</v>
      </c>
      <c r="J39" s="10" t="s">
        <v>76</v>
      </c>
      <c r="K39" s="10" t="s">
        <v>179</v>
      </c>
      <c r="L39" s="10" t="s">
        <v>180</v>
      </c>
    </row>
    <row r="40" ht="34" customHeight="1" spans="1:12">
      <c r="A40" s="10" t="s">
        <v>70</v>
      </c>
      <c r="B40" s="10" t="s">
        <v>9</v>
      </c>
      <c r="C40" s="10" t="s">
        <v>14</v>
      </c>
      <c r="D40" s="10" t="s">
        <v>181</v>
      </c>
      <c r="E40" s="10" t="s">
        <v>182</v>
      </c>
      <c r="F40" s="10" t="s">
        <v>183</v>
      </c>
      <c r="G40" s="10" t="s">
        <v>147</v>
      </c>
      <c r="H40" s="10" t="s">
        <v>91</v>
      </c>
      <c r="I40" s="10">
        <v>6</v>
      </c>
      <c r="J40" s="10" t="s">
        <v>184</v>
      </c>
      <c r="K40" s="10" t="s">
        <v>185</v>
      </c>
      <c r="L40" s="10" t="s">
        <v>186</v>
      </c>
    </row>
    <row r="41" ht="34" customHeight="1" spans="1:12">
      <c r="A41" s="10" t="s">
        <v>70</v>
      </c>
      <c r="B41" s="10" t="s">
        <v>9</v>
      </c>
      <c r="C41" s="10" t="s">
        <v>14</v>
      </c>
      <c r="D41" s="10" t="s">
        <v>187</v>
      </c>
      <c r="E41" s="10" t="s">
        <v>188</v>
      </c>
      <c r="F41" s="10" t="s">
        <v>189</v>
      </c>
      <c r="G41" s="10" t="s">
        <v>170</v>
      </c>
      <c r="H41" s="10" t="s">
        <v>171</v>
      </c>
      <c r="I41" s="10">
        <v>6</v>
      </c>
      <c r="J41" s="10" t="s">
        <v>190</v>
      </c>
      <c r="K41" s="10" t="s">
        <v>191</v>
      </c>
      <c r="L41" s="10" t="s">
        <v>192</v>
      </c>
    </row>
    <row r="42" ht="34" customHeight="1" spans="1:12">
      <c r="A42" s="10" t="s">
        <v>70</v>
      </c>
      <c r="B42" s="10" t="s">
        <v>9</v>
      </c>
      <c r="C42" s="10" t="s">
        <v>14</v>
      </c>
      <c r="D42" s="10" t="s">
        <v>193</v>
      </c>
      <c r="E42" s="10" t="s">
        <v>194</v>
      </c>
      <c r="F42" s="10" t="s">
        <v>195</v>
      </c>
      <c r="G42" s="10" t="s">
        <v>196</v>
      </c>
      <c r="H42" s="10" t="s">
        <v>171</v>
      </c>
      <c r="I42" s="10">
        <v>8</v>
      </c>
      <c r="J42" s="10" t="s">
        <v>197</v>
      </c>
      <c r="K42" s="10" t="s">
        <v>198</v>
      </c>
      <c r="L42" s="10" t="s">
        <v>199</v>
      </c>
    </row>
  </sheetData>
  <mergeCells count="3">
    <mergeCell ref="A1:L1"/>
    <mergeCell ref="A2:L2"/>
    <mergeCell ref="A22:L22"/>
  </mergeCells>
  <dataValidations count="1">
    <dataValidation type="list" sqref="A5:A20">
      <formula1>"KEEP,DROP"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3"/>
  <sheetViews>
    <sheetView showGridLines="0" topLeftCell="C1" workbookViewId="0">
      <selection activeCell="E13" sqref="E13"/>
    </sheetView>
  </sheetViews>
  <sheetFormatPr defaultColWidth="9" defaultRowHeight="14"/>
  <cols>
    <col min="1" max="2" width="13" customWidth="1"/>
    <col min="3" max="3" width="11" customWidth="1"/>
    <col min="4" max="4" width="18" customWidth="1"/>
    <col min="5" max="5" width="34" customWidth="1"/>
    <col min="6" max="6" width="12" customWidth="1"/>
    <col min="7" max="7" width="8" customWidth="1"/>
    <col min="8" max="8" width="28" customWidth="1"/>
    <col min="9" max="9" width="24" customWidth="1"/>
    <col min="10" max="10" width="14" customWidth="1"/>
    <col min="11" max="11" width="21" customWidth="1"/>
    <col min="12" max="12" width="28" customWidth="1"/>
    <col min="13" max="14" width="58" customWidth="1"/>
    <col min="15" max="18" width="24" customWidth="1"/>
    <col min="19" max="20" width="55" customWidth="1"/>
    <col min="21" max="21" width="76" customWidth="1"/>
    <col min="22" max="22" width="70" customWidth="1"/>
    <col min="23" max="23" width="20" customWidth="1"/>
    <col min="24" max="24" width="18" customWidth="1"/>
    <col min="25" max="25" width="25" customWidth="1"/>
    <col min="26" max="26" width="18" customWidth="1"/>
    <col min="27" max="27" width="38" customWidth="1"/>
  </cols>
  <sheetData>
    <row r="1" ht="30" customHeight="1" spans="1:27">
      <c r="A1" s="1" t="s">
        <v>200</v>
      </c>
      <c r="B1" s="1" t="s">
        <v>200</v>
      </c>
      <c r="C1" s="1" t="s">
        <v>200</v>
      </c>
      <c r="D1" s="1" t="s">
        <v>200</v>
      </c>
      <c r="E1" s="1" t="s">
        <v>200</v>
      </c>
      <c r="F1" s="1" t="s">
        <v>200</v>
      </c>
      <c r="G1" s="1" t="s">
        <v>200</v>
      </c>
      <c r="H1" s="1" t="s">
        <v>200</v>
      </c>
      <c r="I1" s="1" t="s">
        <v>200</v>
      </c>
      <c r="J1" s="1" t="s">
        <v>200</v>
      </c>
      <c r="K1" s="1" t="s">
        <v>200</v>
      </c>
      <c r="L1" s="1" t="s">
        <v>200</v>
      </c>
      <c r="M1" s="1" t="s">
        <v>200</v>
      </c>
      <c r="N1" s="1" t="s">
        <v>200</v>
      </c>
      <c r="O1" s="1" t="s">
        <v>200</v>
      </c>
      <c r="P1" s="1" t="s">
        <v>200</v>
      </c>
      <c r="Q1" s="1" t="s">
        <v>200</v>
      </c>
      <c r="R1" s="1" t="s">
        <v>200</v>
      </c>
      <c r="S1" s="1" t="s">
        <v>200</v>
      </c>
      <c r="T1" s="1" t="s">
        <v>200</v>
      </c>
      <c r="U1" s="1" t="s">
        <v>200</v>
      </c>
      <c r="V1" s="1" t="s">
        <v>200</v>
      </c>
      <c r="W1" s="1" t="s">
        <v>200</v>
      </c>
      <c r="X1" s="1" t="s">
        <v>200</v>
      </c>
      <c r="Y1" s="1" t="s">
        <v>200</v>
      </c>
      <c r="Z1" s="1" t="s">
        <v>200</v>
      </c>
      <c r="AA1" s="1" t="s">
        <v>200</v>
      </c>
    </row>
    <row r="2" ht="46" customHeight="1" spans="1:27">
      <c r="A2" s="2" t="s">
        <v>201</v>
      </c>
      <c r="B2" s="2" t="s">
        <v>201</v>
      </c>
      <c r="C2" s="2" t="s">
        <v>201</v>
      </c>
      <c r="D2" s="2" t="s">
        <v>201</v>
      </c>
      <c r="E2" s="2" t="s">
        <v>201</v>
      </c>
      <c r="F2" s="2" t="s">
        <v>201</v>
      </c>
      <c r="G2" s="2" t="s">
        <v>201</v>
      </c>
      <c r="H2" s="2" t="s">
        <v>201</v>
      </c>
      <c r="I2" s="2" t="s">
        <v>201</v>
      </c>
      <c r="J2" s="2" t="s">
        <v>201</v>
      </c>
      <c r="K2" s="2" t="s">
        <v>201</v>
      </c>
      <c r="L2" s="2" t="s">
        <v>201</v>
      </c>
      <c r="M2" s="2" t="s">
        <v>201</v>
      </c>
      <c r="N2" s="2" t="s">
        <v>201</v>
      </c>
      <c r="O2" s="2" t="s">
        <v>201</v>
      </c>
      <c r="P2" s="2" t="s">
        <v>201</v>
      </c>
      <c r="Q2" s="2" t="s">
        <v>201</v>
      </c>
      <c r="R2" s="2" t="s">
        <v>201</v>
      </c>
      <c r="S2" s="2" t="s">
        <v>201</v>
      </c>
      <c r="T2" s="2" t="s">
        <v>201</v>
      </c>
      <c r="U2" s="2" t="s">
        <v>201</v>
      </c>
      <c r="V2" s="2" t="s">
        <v>201</v>
      </c>
      <c r="W2" s="2" t="s">
        <v>201</v>
      </c>
      <c r="X2" s="2" t="s">
        <v>201</v>
      </c>
      <c r="Y2" s="2" t="s">
        <v>201</v>
      </c>
      <c r="Z2" s="2" t="s">
        <v>201</v>
      </c>
      <c r="AA2" s="2" t="s">
        <v>201</v>
      </c>
    </row>
    <row r="4" spans="1:27">
      <c r="A4" s="3" t="s">
        <v>202</v>
      </c>
      <c r="B4" s="3" t="s">
        <v>60</v>
      </c>
      <c r="C4" s="3" t="s">
        <v>2</v>
      </c>
      <c r="D4" s="3" t="s">
        <v>203</v>
      </c>
      <c r="E4" s="3" t="s">
        <v>64</v>
      </c>
      <c r="F4" s="3" t="s">
        <v>65</v>
      </c>
      <c r="G4" s="3" t="s">
        <v>66</v>
      </c>
      <c r="H4" s="3" t="s">
        <v>204</v>
      </c>
      <c r="I4" s="3" t="s">
        <v>205</v>
      </c>
      <c r="J4" s="3" t="s">
        <v>206</v>
      </c>
      <c r="K4" s="3" t="s">
        <v>68</v>
      </c>
      <c r="L4" s="3" t="s">
        <v>69</v>
      </c>
      <c r="M4" s="3" t="s">
        <v>207</v>
      </c>
      <c r="N4" s="3" t="s">
        <v>208</v>
      </c>
      <c r="O4" s="3" t="s">
        <v>209</v>
      </c>
      <c r="P4" s="3" t="s">
        <v>210</v>
      </c>
      <c r="Q4" s="3" t="s">
        <v>211</v>
      </c>
      <c r="R4" s="3" t="s">
        <v>212</v>
      </c>
      <c r="S4" s="3" t="s">
        <v>49</v>
      </c>
      <c r="T4" s="3" t="s">
        <v>50</v>
      </c>
      <c r="U4" s="3" t="s">
        <v>213</v>
      </c>
      <c r="V4" s="3" t="s">
        <v>214</v>
      </c>
      <c r="W4" s="3" t="s">
        <v>215</v>
      </c>
      <c r="X4" s="3" t="s">
        <v>216</v>
      </c>
      <c r="Y4" s="3" t="s">
        <v>217</v>
      </c>
      <c r="Z4" s="3" t="s">
        <v>218</v>
      </c>
      <c r="AA4" s="3" t="s">
        <v>219</v>
      </c>
    </row>
    <row r="5" ht="92" customHeight="1" spans="1:27">
      <c r="A5" s="5" t="s">
        <v>53</v>
      </c>
      <c r="B5" s="8" t="s">
        <v>9</v>
      </c>
      <c r="C5" s="8" t="s">
        <v>8</v>
      </c>
      <c r="D5" s="5" t="s">
        <v>220</v>
      </c>
      <c r="E5" s="8" t="s">
        <v>74</v>
      </c>
      <c r="F5" s="8" t="s">
        <v>75</v>
      </c>
      <c r="G5" s="8">
        <v>1</v>
      </c>
      <c r="H5" s="8" t="s">
        <v>76</v>
      </c>
      <c r="I5" s="8" t="s">
        <v>221</v>
      </c>
      <c r="J5" s="8" t="s">
        <v>222</v>
      </c>
      <c r="K5" s="8" t="s">
        <v>77</v>
      </c>
      <c r="L5" s="8" t="s">
        <v>78</v>
      </c>
      <c r="M5" s="8" t="s">
        <v>223</v>
      </c>
      <c r="N5" s="13" t="s">
        <v>224</v>
      </c>
      <c r="O5" s="5" t="s">
        <v>53</v>
      </c>
      <c r="P5" s="5" t="s">
        <v>53</v>
      </c>
      <c r="Q5" s="5" t="s">
        <v>53</v>
      </c>
      <c r="R5" s="5" t="s">
        <v>53</v>
      </c>
      <c r="S5" s="14" t="s">
        <v>53</v>
      </c>
      <c r="T5" s="5" t="s">
        <v>53</v>
      </c>
      <c r="U5" s="8" t="s">
        <v>225</v>
      </c>
      <c r="V5" s="8" t="s">
        <v>226</v>
      </c>
      <c r="W5" s="8" t="str">
        <f t="shared" ref="W5:W23" si="0">IF(A5&lt;&gt;"KEEP","NOT SELECTED",IF(AND(OR(D5="new_deck",D5="new_technology"),N5&lt;&gt;"",O5&lt;&gt;"",P5&lt;&gt;"",Q5&lt;&gt;"",R5&lt;&gt;"",COUNTIF(O5:R5,O5)=1,COUNTIF(O5:R5,P5)=1,COUNTIF(O5:R5,Q5)=1,COUNTIF(O5:R5,R5)=1),"READY","INCOMPLETE"))</f>
        <v>NOT SELECTED</v>
      </c>
      <c r="X5" s="8" t="str">
        <f t="shared" ref="X5:X23" si="1">IF(A5&lt;&gt;"KEEP","NOT SELECTED",IF(T5&lt;&gt;"","READY","INCOMPLETE"))</f>
        <v>NOT SELECTED</v>
      </c>
      <c r="Y5" s="8" t="s">
        <v>227</v>
      </c>
      <c r="Z5" s="8" t="s">
        <v>53</v>
      </c>
      <c r="AA5" s="8" t="s">
        <v>228</v>
      </c>
    </row>
    <row r="6" ht="92" customHeight="1" spans="1:27">
      <c r="A6" s="7" t="s">
        <v>53</v>
      </c>
      <c r="B6" s="10" t="s">
        <v>9</v>
      </c>
      <c r="C6" s="10" t="s">
        <v>8</v>
      </c>
      <c r="D6" s="7" t="s">
        <v>229</v>
      </c>
      <c r="E6" s="10" t="s">
        <v>82</v>
      </c>
      <c r="F6" s="10" t="s">
        <v>83</v>
      </c>
      <c r="G6" s="10">
        <v>1</v>
      </c>
      <c r="H6" s="10" t="s">
        <v>84</v>
      </c>
      <c r="I6" s="10" t="s">
        <v>230</v>
      </c>
      <c r="J6" s="10" t="s">
        <v>222</v>
      </c>
      <c r="K6" s="10" t="s">
        <v>85</v>
      </c>
      <c r="L6" s="10" t="s">
        <v>86</v>
      </c>
      <c r="M6" s="10" t="s">
        <v>231</v>
      </c>
      <c r="N6" s="7"/>
      <c r="O6" s="7" t="s">
        <v>53</v>
      </c>
      <c r="P6" s="7" t="s">
        <v>53</v>
      </c>
      <c r="Q6" s="7" t="s">
        <v>53</v>
      </c>
      <c r="R6" s="7" t="s">
        <v>53</v>
      </c>
      <c r="S6" s="15" t="s">
        <v>53</v>
      </c>
      <c r="T6" s="7" t="s">
        <v>53</v>
      </c>
      <c r="U6" s="10" t="s">
        <v>232</v>
      </c>
      <c r="V6" s="10" t="s">
        <v>233</v>
      </c>
      <c r="W6" s="10" t="str">
        <f t="shared" si="0"/>
        <v>NOT SELECTED</v>
      </c>
      <c r="X6" s="10" t="str">
        <f t="shared" si="1"/>
        <v>NOT SELECTED</v>
      </c>
      <c r="Y6" s="10" t="s">
        <v>234</v>
      </c>
      <c r="Z6" s="10" t="s">
        <v>53</v>
      </c>
      <c r="AA6" s="10" t="s">
        <v>235</v>
      </c>
    </row>
    <row r="7" ht="92" customHeight="1" spans="1:27">
      <c r="A7" s="7" t="s">
        <v>53</v>
      </c>
      <c r="B7" s="10" t="s">
        <v>9</v>
      </c>
      <c r="C7" s="10" t="s">
        <v>8</v>
      </c>
      <c r="D7" s="7" t="s">
        <v>229</v>
      </c>
      <c r="E7" s="10" t="s">
        <v>90</v>
      </c>
      <c r="F7" s="10" t="s">
        <v>91</v>
      </c>
      <c r="G7" s="10">
        <v>2</v>
      </c>
      <c r="H7" s="10" t="s">
        <v>92</v>
      </c>
      <c r="I7" s="10" t="s">
        <v>236</v>
      </c>
      <c r="J7" s="10" t="s">
        <v>222</v>
      </c>
      <c r="K7" s="10" t="s">
        <v>93</v>
      </c>
      <c r="L7" s="10" t="s">
        <v>94</v>
      </c>
      <c r="M7" s="10" t="s">
        <v>237</v>
      </c>
      <c r="N7" s="7" t="s">
        <v>53</v>
      </c>
      <c r="O7" s="7" t="s">
        <v>53</v>
      </c>
      <c r="P7" s="7" t="s">
        <v>53</v>
      </c>
      <c r="Q7" s="7" t="s">
        <v>53</v>
      </c>
      <c r="R7" s="7" t="s">
        <v>53</v>
      </c>
      <c r="S7" s="15" t="s">
        <v>53</v>
      </c>
      <c r="T7" s="7" t="s">
        <v>53</v>
      </c>
      <c r="U7" s="10" t="s">
        <v>238</v>
      </c>
      <c r="V7" s="10" t="s">
        <v>239</v>
      </c>
      <c r="W7" s="10" t="str">
        <f t="shared" si="0"/>
        <v>NOT SELECTED</v>
      </c>
      <c r="X7" s="10" t="str">
        <f t="shared" si="1"/>
        <v>NOT SELECTED</v>
      </c>
      <c r="Y7" s="10" t="s">
        <v>240</v>
      </c>
      <c r="Z7" s="10" t="s">
        <v>53</v>
      </c>
      <c r="AA7" s="10" t="s">
        <v>241</v>
      </c>
    </row>
    <row r="8" ht="92" customHeight="1" spans="1:27">
      <c r="A8" s="7" t="s">
        <v>53</v>
      </c>
      <c r="B8" s="10" t="s">
        <v>9</v>
      </c>
      <c r="C8" s="10" t="s">
        <v>8</v>
      </c>
      <c r="D8" s="7" t="s">
        <v>229</v>
      </c>
      <c r="E8" s="10" t="s">
        <v>98</v>
      </c>
      <c r="F8" s="10" t="s">
        <v>99</v>
      </c>
      <c r="G8" s="10">
        <v>2</v>
      </c>
      <c r="H8" s="10" t="s">
        <v>100</v>
      </c>
      <c r="I8" s="10" t="s">
        <v>242</v>
      </c>
      <c r="J8" s="10" t="s">
        <v>222</v>
      </c>
      <c r="K8" s="10" t="s">
        <v>101</v>
      </c>
      <c r="L8" s="10" t="s">
        <v>102</v>
      </c>
      <c r="M8" s="10" t="s">
        <v>243</v>
      </c>
      <c r="N8" s="7" t="s">
        <v>53</v>
      </c>
      <c r="O8" s="7" t="s">
        <v>53</v>
      </c>
      <c r="P8" s="7" t="s">
        <v>53</v>
      </c>
      <c r="Q8" s="7" t="s">
        <v>53</v>
      </c>
      <c r="R8" s="7" t="s">
        <v>53</v>
      </c>
      <c r="S8" s="15" t="s">
        <v>53</v>
      </c>
      <c r="T8" s="7" t="s">
        <v>53</v>
      </c>
      <c r="U8" s="10" t="s">
        <v>244</v>
      </c>
      <c r="V8" s="10" t="s">
        <v>245</v>
      </c>
      <c r="W8" s="10" t="str">
        <f t="shared" si="0"/>
        <v>NOT SELECTED</v>
      </c>
      <c r="X8" s="10" t="str">
        <f t="shared" si="1"/>
        <v>NOT SELECTED</v>
      </c>
      <c r="Y8" s="10" t="s">
        <v>246</v>
      </c>
      <c r="Z8" s="10" t="s">
        <v>53</v>
      </c>
      <c r="AA8" s="10" t="s">
        <v>247</v>
      </c>
    </row>
    <row r="9" ht="92" customHeight="1" spans="1:27">
      <c r="A9" s="7" t="s">
        <v>53</v>
      </c>
      <c r="B9" s="10" t="s">
        <v>9</v>
      </c>
      <c r="C9" s="10" t="s">
        <v>8</v>
      </c>
      <c r="D9" s="7" t="s">
        <v>229</v>
      </c>
      <c r="E9" s="10" t="s">
        <v>98</v>
      </c>
      <c r="F9" s="10" t="s">
        <v>99</v>
      </c>
      <c r="G9" s="10">
        <v>4</v>
      </c>
      <c r="H9" s="10" t="s">
        <v>106</v>
      </c>
      <c r="I9" s="10" t="s">
        <v>248</v>
      </c>
      <c r="J9" s="10" t="s">
        <v>222</v>
      </c>
      <c r="K9" s="10" t="s">
        <v>107</v>
      </c>
      <c r="L9" s="10" t="s">
        <v>108</v>
      </c>
      <c r="M9" s="10" t="s">
        <v>249</v>
      </c>
      <c r="N9" s="7" t="s">
        <v>53</v>
      </c>
      <c r="O9" s="7" t="s">
        <v>53</v>
      </c>
      <c r="P9" s="7" t="s">
        <v>53</v>
      </c>
      <c r="Q9" s="7" t="s">
        <v>53</v>
      </c>
      <c r="R9" s="7" t="s">
        <v>53</v>
      </c>
      <c r="S9" s="15" t="s">
        <v>53</v>
      </c>
      <c r="T9" s="7" t="s">
        <v>53</v>
      </c>
      <c r="U9" s="10" t="s">
        <v>250</v>
      </c>
      <c r="V9" s="10" t="s">
        <v>251</v>
      </c>
      <c r="W9" s="10" t="str">
        <f t="shared" si="0"/>
        <v>NOT SELECTED</v>
      </c>
      <c r="X9" s="10" t="str">
        <f t="shared" si="1"/>
        <v>NOT SELECTED</v>
      </c>
      <c r="Y9" s="10" t="s">
        <v>252</v>
      </c>
      <c r="Z9" s="10" t="s">
        <v>53</v>
      </c>
      <c r="AA9" s="10" t="s">
        <v>253</v>
      </c>
    </row>
    <row r="10" ht="92" customHeight="1" spans="1:27">
      <c r="A10" s="7" t="s">
        <v>53</v>
      </c>
      <c r="B10" s="10" t="s">
        <v>9</v>
      </c>
      <c r="C10" s="10" t="s">
        <v>8</v>
      </c>
      <c r="D10" s="7" t="s">
        <v>229</v>
      </c>
      <c r="E10" s="10" t="s">
        <v>98</v>
      </c>
      <c r="F10" s="10" t="s">
        <v>99</v>
      </c>
      <c r="G10" s="10">
        <v>5</v>
      </c>
      <c r="H10" s="10" t="s">
        <v>84</v>
      </c>
      <c r="I10" s="10" t="s">
        <v>230</v>
      </c>
      <c r="J10" s="10" t="s">
        <v>222</v>
      </c>
      <c r="K10" s="10" t="s">
        <v>112</v>
      </c>
      <c r="L10" s="10" t="s">
        <v>113</v>
      </c>
      <c r="M10" s="10" t="s">
        <v>254</v>
      </c>
      <c r="N10" s="7" t="s">
        <v>53</v>
      </c>
      <c r="O10" s="7" t="s">
        <v>53</v>
      </c>
      <c r="P10" s="7" t="s">
        <v>53</v>
      </c>
      <c r="Q10" s="7" t="s">
        <v>53</v>
      </c>
      <c r="R10" s="7" t="s">
        <v>53</v>
      </c>
      <c r="S10" s="15" t="s">
        <v>53</v>
      </c>
      <c r="T10" s="7" t="s">
        <v>53</v>
      </c>
      <c r="U10" s="10" t="s">
        <v>255</v>
      </c>
      <c r="V10" s="10" t="s">
        <v>256</v>
      </c>
      <c r="W10" s="10" t="str">
        <f t="shared" si="0"/>
        <v>NOT SELECTED</v>
      </c>
      <c r="X10" s="10" t="str">
        <f t="shared" si="1"/>
        <v>NOT SELECTED</v>
      </c>
      <c r="Y10" s="10" t="s">
        <v>234</v>
      </c>
      <c r="Z10" s="10" t="s">
        <v>53</v>
      </c>
      <c r="AA10" s="10" t="s">
        <v>235</v>
      </c>
    </row>
    <row r="11" ht="92" customHeight="1" spans="1:27">
      <c r="A11" s="7" t="s">
        <v>53</v>
      </c>
      <c r="B11" s="10" t="s">
        <v>9</v>
      </c>
      <c r="C11" s="10" t="s">
        <v>8</v>
      </c>
      <c r="D11" s="7" t="s">
        <v>229</v>
      </c>
      <c r="E11" s="10" t="s">
        <v>98</v>
      </c>
      <c r="F11" s="10" t="s">
        <v>99</v>
      </c>
      <c r="G11" s="10">
        <v>6</v>
      </c>
      <c r="H11" s="10" t="s">
        <v>117</v>
      </c>
      <c r="I11" s="10" t="s">
        <v>257</v>
      </c>
      <c r="J11" s="10" t="s">
        <v>222</v>
      </c>
      <c r="K11" s="10" t="s">
        <v>118</v>
      </c>
      <c r="L11" s="10" t="s">
        <v>119</v>
      </c>
      <c r="M11" s="10" t="s">
        <v>258</v>
      </c>
      <c r="N11" s="7" t="s">
        <v>53</v>
      </c>
      <c r="O11" s="7" t="s">
        <v>53</v>
      </c>
      <c r="P11" s="7" t="s">
        <v>53</v>
      </c>
      <c r="Q11" s="7" t="s">
        <v>53</v>
      </c>
      <c r="R11" s="7" t="s">
        <v>53</v>
      </c>
      <c r="S11" s="15" t="s">
        <v>53</v>
      </c>
      <c r="T11" s="7" t="s">
        <v>53</v>
      </c>
      <c r="U11" s="10" t="s">
        <v>259</v>
      </c>
      <c r="V11" s="10" t="s">
        <v>260</v>
      </c>
      <c r="W11" s="10" t="str">
        <f t="shared" si="0"/>
        <v>NOT SELECTED</v>
      </c>
      <c r="X11" s="10" t="str">
        <f t="shared" si="1"/>
        <v>NOT SELECTED</v>
      </c>
      <c r="Y11" s="10" t="s">
        <v>261</v>
      </c>
      <c r="Z11" s="10" t="s">
        <v>53</v>
      </c>
      <c r="AA11" s="10" t="s">
        <v>262</v>
      </c>
    </row>
    <row r="12" ht="92" customHeight="1" spans="1:27">
      <c r="A12" s="7" t="s">
        <v>53</v>
      </c>
      <c r="B12" s="10" t="s">
        <v>9</v>
      </c>
      <c r="C12" s="10" t="s">
        <v>8</v>
      </c>
      <c r="D12" s="7" t="s">
        <v>229</v>
      </c>
      <c r="E12" s="10" t="s">
        <v>90</v>
      </c>
      <c r="F12" s="10" t="s">
        <v>91</v>
      </c>
      <c r="G12" s="10">
        <v>6</v>
      </c>
      <c r="H12" s="10" t="s">
        <v>123</v>
      </c>
      <c r="I12" s="10" t="s">
        <v>263</v>
      </c>
      <c r="J12" s="10" t="s">
        <v>222</v>
      </c>
      <c r="K12" s="10" t="s">
        <v>124</v>
      </c>
      <c r="L12" s="10" t="s">
        <v>125</v>
      </c>
      <c r="M12" s="10" t="s">
        <v>264</v>
      </c>
      <c r="N12" s="7" t="s">
        <v>53</v>
      </c>
      <c r="O12" s="7" t="s">
        <v>53</v>
      </c>
      <c r="P12" s="7" t="s">
        <v>53</v>
      </c>
      <c r="Q12" s="7" t="s">
        <v>53</v>
      </c>
      <c r="R12" s="7" t="s">
        <v>53</v>
      </c>
      <c r="S12" s="15" t="s">
        <v>53</v>
      </c>
      <c r="T12" s="7" t="s">
        <v>53</v>
      </c>
      <c r="U12" s="10" t="s">
        <v>265</v>
      </c>
      <c r="V12" s="10" t="s">
        <v>266</v>
      </c>
      <c r="W12" s="10" t="str">
        <f t="shared" si="0"/>
        <v>NOT SELECTED</v>
      </c>
      <c r="X12" s="10" t="str">
        <f t="shared" si="1"/>
        <v>NOT SELECTED</v>
      </c>
      <c r="Y12" s="10" t="s">
        <v>267</v>
      </c>
      <c r="Z12" s="10" t="s">
        <v>53</v>
      </c>
      <c r="AA12" s="10" t="s">
        <v>268</v>
      </c>
    </row>
    <row r="13" ht="92" customHeight="1" spans="1:27">
      <c r="A13" s="7" t="s">
        <v>53</v>
      </c>
      <c r="B13" s="10" t="s">
        <v>9</v>
      </c>
      <c r="C13" s="10" t="s">
        <v>8</v>
      </c>
      <c r="D13" s="7" t="s">
        <v>229</v>
      </c>
      <c r="E13" s="10" t="s">
        <v>82</v>
      </c>
      <c r="F13" s="10" t="s">
        <v>83</v>
      </c>
      <c r="G13" s="10">
        <v>8</v>
      </c>
      <c r="H13" s="10" t="s">
        <v>129</v>
      </c>
      <c r="I13" s="10" t="s">
        <v>269</v>
      </c>
      <c r="J13" s="10" t="s">
        <v>222</v>
      </c>
      <c r="K13" s="10" t="s">
        <v>130</v>
      </c>
      <c r="L13" s="10" t="s">
        <v>131</v>
      </c>
      <c r="M13" s="10" t="s">
        <v>270</v>
      </c>
      <c r="N13" s="7" t="s">
        <v>53</v>
      </c>
      <c r="O13" s="7" t="s">
        <v>53</v>
      </c>
      <c r="P13" s="7" t="s">
        <v>53</v>
      </c>
      <c r="Q13" s="7" t="s">
        <v>53</v>
      </c>
      <c r="R13" s="7" t="s">
        <v>53</v>
      </c>
      <c r="S13" s="15" t="s">
        <v>53</v>
      </c>
      <c r="T13" s="7" t="s">
        <v>53</v>
      </c>
      <c r="U13" s="10" t="s">
        <v>271</v>
      </c>
      <c r="V13" s="10" t="s">
        <v>272</v>
      </c>
      <c r="W13" s="10" t="str">
        <f t="shared" si="0"/>
        <v>NOT SELECTED</v>
      </c>
      <c r="X13" s="10" t="str">
        <f t="shared" si="1"/>
        <v>NOT SELECTED</v>
      </c>
      <c r="Y13" s="10" t="s">
        <v>273</v>
      </c>
      <c r="Z13" s="10" t="s">
        <v>53</v>
      </c>
      <c r="AA13" s="10" t="s">
        <v>274</v>
      </c>
    </row>
    <row r="14" ht="92" customHeight="1" spans="1:27">
      <c r="A14" s="7" t="s">
        <v>53</v>
      </c>
      <c r="B14" s="10" t="s">
        <v>9</v>
      </c>
      <c r="C14" s="10" t="s">
        <v>8</v>
      </c>
      <c r="D14" s="7" t="s">
        <v>229</v>
      </c>
      <c r="E14" s="10" t="s">
        <v>74</v>
      </c>
      <c r="F14" s="10" t="s">
        <v>75</v>
      </c>
      <c r="G14" s="10">
        <v>8</v>
      </c>
      <c r="H14" s="10" t="s">
        <v>92</v>
      </c>
      <c r="I14" s="10" t="s">
        <v>236</v>
      </c>
      <c r="J14" s="10" t="s">
        <v>222</v>
      </c>
      <c r="K14" s="10" t="s">
        <v>135</v>
      </c>
      <c r="L14" s="10" t="s">
        <v>136</v>
      </c>
      <c r="M14" s="10" t="s">
        <v>275</v>
      </c>
      <c r="N14" s="7" t="s">
        <v>53</v>
      </c>
      <c r="O14" s="7" t="s">
        <v>53</v>
      </c>
      <c r="P14" s="7" t="s">
        <v>53</v>
      </c>
      <c r="Q14" s="7" t="s">
        <v>53</v>
      </c>
      <c r="R14" s="7" t="s">
        <v>53</v>
      </c>
      <c r="S14" s="15" t="s">
        <v>53</v>
      </c>
      <c r="T14" s="7" t="s">
        <v>53</v>
      </c>
      <c r="U14" s="10" t="s">
        <v>276</v>
      </c>
      <c r="V14" s="10" t="s">
        <v>277</v>
      </c>
      <c r="W14" s="10" t="str">
        <f t="shared" si="0"/>
        <v>NOT SELECTED</v>
      </c>
      <c r="X14" s="10" t="str">
        <f t="shared" si="1"/>
        <v>NOT SELECTED</v>
      </c>
      <c r="Y14" s="10" t="s">
        <v>240</v>
      </c>
      <c r="Z14" s="10" t="s">
        <v>53</v>
      </c>
      <c r="AA14" s="10" t="s">
        <v>241</v>
      </c>
    </row>
    <row r="15" ht="92" customHeight="1" spans="1:27">
      <c r="A15" s="7" t="s">
        <v>53</v>
      </c>
      <c r="B15" s="10" t="s">
        <v>9</v>
      </c>
      <c r="C15" s="10" t="s">
        <v>14</v>
      </c>
      <c r="D15" s="7" t="s">
        <v>220</v>
      </c>
      <c r="E15" s="10" t="s">
        <v>140</v>
      </c>
      <c r="F15" s="10" t="s">
        <v>99</v>
      </c>
      <c r="G15" s="10">
        <v>7</v>
      </c>
      <c r="H15" s="10" t="s">
        <v>141</v>
      </c>
      <c r="I15" s="10" t="s">
        <v>278</v>
      </c>
      <c r="J15" s="10" t="s">
        <v>222</v>
      </c>
      <c r="K15" s="10" t="s">
        <v>142</v>
      </c>
      <c r="L15" s="10" t="s">
        <v>143</v>
      </c>
      <c r="M15" s="10" t="s">
        <v>279</v>
      </c>
      <c r="N15" s="7" t="s">
        <v>53</v>
      </c>
      <c r="O15" s="7" t="s">
        <v>53</v>
      </c>
      <c r="P15" s="7" t="s">
        <v>53</v>
      </c>
      <c r="Q15" s="7" t="s">
        <v>53</v>
      </c>
      <c r="R15" s="7" t="s">
        <v>53</v>
      </c>
      <c r="S15" s="15" t="s">
        <v>53</v>
      </c>
      <c r="T15" s="7" t="s">
        <v>53</v>
      </c>
      <c r="U15" s="10" t="s">
        <v>280</v>
      </c>
      <c r="V15" s="10" t="s">
        <v>281</v>
      </c>
      <c r="W15" s="10" t="str">
        <f t="shared" si="0"/>
        <v>NOT SELECTED</v>
      </c>
      <c r="X15" s="10" t="str">
        <f t="shared" si="1"/>
        <v>NOT SELECTED</v>
      </c>
      <c r="Y15" s="10" t="s">
        <v>282</v>
      </c>
      <c r="Z15" s="10" t="s">
        <v>53</v>
      </c>
      <c r="AA15" s="10" t="s">
        <v>283</v>
      </c>
    </row>
    <row r="16" ht="92" customHeight="1" spans="1:27">
      <c r="A16" s="7" t="s">
        <v>53</v>
      </c>
      <c r="B16" s="10" t="s">
        <v>9</v>
      </c>
      <c r="C16" s="10" t="s">
        <v>14</v>
      </c>
      <c r="D16" s="7" t="s">
        <v>229</v>
      </c>
      <c r="E16" s="10" t="s">
        <v>147</v>
      </c>
      <c r="F16" s="10" t="s">
        <v>91</v>
      </c>
      <c r="G16" s="10">
        <v>2</v>
      </c>
      <c r="H16" s="10" t="s">
        <v>148</v>
      </c>
      <c r="I16" s="10" t="s">
        <v>284</v>
      </c>
      <c r="J16" s="10" t="s">
        <v>222</v>
      </c>
      <c r="K16" s="10" t="s">
        <v>149</v>
      </c>
      <c r="L16" s="10" t="s">
        <v>150</v>
      </c>
      <c r="M16" s="10" t="s">
        <v>285</v>
      </c>
      <c r="N16" s="7" t="s">
        <v>53</v>
      </c>
      <c r="O16" s="7" t="s">
        <v>53</v>
      </c>
      <c r="P16" s="7" t="s">
        <v>53</v>
      </c>
      <c r="Q16" s="7" t="s">
        <v>53</v>
      </c>
      <c r="R16" s="7" t="s">
        <v>53</v>
      </c>
      <c r="S16" s="15" t="s">
        <v>53</v>
      </c>
      <c r="T16" s="7" t="s">
        <v>53</v>
      </c>
      <c r="U16" s="10" t="s">
        <v>286</v>
      </c>
      <c r="V16" s="10" t="s">
        <v>287</v>
      </c>
      <c r="W16" s="10" t="str">
        <f t="shared" si="0"/>
        <v>NOT SELECTED</v>
      </c>
      <c r="X16" s="10" t="str">
        <f t="shared" si="1"/>
        <v>NOT SELECTED</v>
      </c>
      <c r="Y16" s="10" t="s">
        <v>288</v>
      </c>
      <c r="Z16" s="10" t="s">
        <v>289</v>
      </c>
      <c r="AA16" s="10" t="s">
        <v>290</v>
      </c>
    </row>
    <row r="17" ht="92" customHeight="1" spans="1:27">
      <c r="A17" s="7" t="s">
        <v>53</v>
      </c>
      <c r="B17" s="10" t="s">
        <v>9</v>
      </c>
      <c r="C17" s="10" t="s">
        <v>14</v>
      </c>
      <c r="D17" s="7" t="s">
        <v>229</v>
      </c>
      <c r="E17" s="10" t="s">
        <v>154</v>
      </c>
      <c r="F17" s="10" t="s">
        <v>155</v>
      </c>
      <c r="G17" s="10">
        <v>2</v>
      </c>
      <c r="H17" s="10" t="s">
        <v>156</v>
      </c>
      <c r="I17" s="10" t="s">
        <v>291</v>
      </c>
      <c r="J17" s="10" t="s">
        <v>222</v>
      </c>
      <c r="K17" s="10" t="s">
        <v>157</v>
      </c>
      <c r="L17" s="10" t="s">
        <v>158</v>
      </c>
      <c r="M17" s="10" t="s">
        <v>292</v>
      </c>
      <c r="N17" s="7" t="s">
        <v>53</v>
      </c>
      <c r="O17" s="7" t="s">
        <v>53</v>
      </c>
      <c r="P17" s="7" t="s">
        <v>53</v>
      </c>
      <c r="Q17" s="7" t="s">
        <v>53</v>
      </c>
      <c r="R17" s="7" t="s">
        <v>53</v>
      </c>
      <c r="S17" s="15" t="s">
        <v>53</v>
      </c>
      <c r="T17" s="7" t="s">
        <v>53</v>
      </c>
      <c r="U17" s="10" t="s">
        <v>293</v>
      </c>
      <c r="V17" s="10" t="s">
        <v>294</v>
      </c>
      <c r="W17" s="10" t="str">
        <f t="shared" si="0"/>
        <v>NOT SELECTED</v>
      </c>
      <c r="X17" s="10" t="str">
        <f t="shared" si="1"/>
        <v>NOT SELECTED</v>
      </c>
      <c r="Y17" s="10" t="s">
        <v>295</v>
      </c>
      <c r="Z17" s="10" t="s">
        <v>296</v>
      </c>
      <c r="AA17" s="10" t="s">
        <v>297</v>
      </c>
    </row>
    <row r="18" ht="92" customHeight="1" spans="1:27">
      <c r="A18" s="7" t="s">
        <v>53</v>
      </c>
      <c r="B18" s="10" t="s">
        <v>9</v>
      </c>
      <c r="C18" s="10" t="s">
        <v>14</v>
      </c>
      <c r="D18" s="7" t="s">
        <v>229</v>
      </c>
      <c r="E18" s="10" t="s">
        <v>162</v>
      </c>
      <c r="F18" s="10" t="s">
        <v>163</v>
      </c>
      <c r="G18" s="10">
        <v>3</v>
      </c>
      <c r="H18" s="10" t="s">
        <v>164</v>
      </c>
      <c r="I18" s="10" t="s">
        <v>298</v>
      </c>
      <c r="J18" s="10" t="s">
        <v>222</v>
      </c>
      <c r="K18" s="10" t="s">
        <v>165</v>
      </c>
      <c r="L18" s="10" t="s">
        <v>166</v>
      </c>
      <c r="M18" s="10" t="s">
        <v>299</v>
      </c>
      <c r="N18" s="7" t="s">
        <v>53</v>
      </c>
      <c r="O18" s="7" t="s">
        <v>53</v>
      </c>
      <c r="P18" s="7" t="s">
        <v>53</v>
      </c>
      <c r="Q18" s="7" t="s">
        <v>53</v>
      </c>
      <c r="R18" s="7" t="s">
        <v>53</v>
      </c>
      <c r="S18" s="15" t="s">
        <v>53</v>
      </c>
      <c r="T18" s="7" t="s">
        <v>53</v>
      </c>
      <c r="U18" s="10" t="s">
        <v>300</v>
      </c>
      <c r="V18" s="10" t="s">
        <v>301</v>
      </c>
      <c r="W18" s="10" t="str">
        <f t="shared" si="0"/>
        <v>NOT SELECTED</v>
      </c>
      <c r="X18" s="10" t="str">
        <f t="shared" si="1"/>
        <v>NOT SELECTED</v>
      </c>
      <c r="Y18" s="10" t="s">
        <v>302</v>
      </c>
      <c r="Z18" s="10" t="s">
        <v>303</v>
      </c>
      <c r="AA18" s="10" t="s">
        <v>304</v>
      </c>
    </row>
    <row r="19" ht="92" customHeight="1" spans="1:27">
      <c r="A19" s="7" t="s">
        <v>53</v>
      </c>
      <c r="B19" s="10" t="s">
        <v>9</v>
      </c>
      <c r="C19" s="10" t="s">
        <v>14</v>
      </c>
      <c r="D19" s="7" t="s">
        <v>229</v>
      </c>
      <c r="E19" s="10" t="s">
        <v>170</v>
      </c>
      <c r="F19" s="10" t="s">
        <v>171</v>
      </c>
      <c r="G19" s="10">
        <v>5</v>
      </c>
      <c r="H19" s="10" t="s">
        <v>172</v>
      </c>
      <c r="I19" s="10" t="s">
        <v>305</v>
      </c>
      <c r="J19" s="10" t="s">
        <v>222</v>
      </c>
      <c r="K19" s="10" t="s">
        <v>173</v>
      </c>
      <c r="L19" s="10" t="s">
        <v>174</v>
      </c>
      <c r="M19" s="10" t="s">
        <v>306</v>
      </c>
      <c r="N19" s="7" t="s">
        <v>53</v>
      </c>
      <c r="O19" s="7" t="s">
        <v>53</v>
      </c>
      <c r="P19" s="7" t="s">
        <v>53</v>
      </c>
      <c r="Q19" s="7" t="s">
        <v>53</v>
      </c>
      <c r="R19" s="7" t="s">
        <v>53</v>
      </c>
      <c r="S19" s="15" t="s">
        <v>53</v>
      </c>
      <c r="T19" s="7" t="s">
        <v>53</v>
      </c>
      <c r="U19" s="10" t="s">
        <v>307</v>
      </c>
      <c r="V19" s="10" t="s">
        <v>308</v>
      </c>
      <c r="W19" s="10" t="str">
        <f t="shared" si="0"/>
        <v>NOT SELECTED</v>
      </c>
      <c r="X19" s="10" t="str">
        <f t="shared" si="1"/>
        <v>NOT SELECTED</v>
      </c>
      <c r="Y19" s="10" t="s">
        <v>309</v>
      </c>
      <c r="Z19" s="10" t="s">
        <v>53</v>
      </c>
      <c r="AA19" s="10" t="s">
        <v>310</v>
      </c>
    </row>
    <row r="20" ht="92" customHeight="1" spans="1:27">
      <c r="A20" s="7" t="s">
        <v>53</v>
      </c>
      <c r="B20" s="10" t="s">
        <v>9</v>
      </c>
      <c r="C20" s="10" t="s">
        <v>14</v>
      </c>
      <c r="D20" s="7" t="s">
        <v>229</v>
      </c>
      <c r="E20" s="10" t="s">
        <v>178</v>
      </c>
      <c r="F20" s="10" t="s">
        <v>171</v>
      </c>
      <c r="G20" s="10">
        <v>6</v>
      </c>
      <c r="H20" s="10" t="s">
        <v>76</v>
      </c>
      <c r="I20" s="10" t="s">
        <v>221</v>
      </c>
      <c r="J20" s="10" t="s">
        <v>222</v>
      </c>
      <c r="K20" s="10" t="s">
        <v>179</v>
      </c>
      <c r="L20" s="10" t="s">
        <v>180</v>
      </c>
      <c r="M20" s="10" t="s">
        <v>311</v>
      </c>
      <c r="N20" s="7" t="s">
        <v>53</v>
      </c>
      <c r="O20" s="7" t="s">
        <v>53</v>
      </c>
      <c r="P20" s="7" t="s">
        <v>53</v>
      </c>
      <c r="Q20" s="7" t="s">
        <v>53</v>
      </c>
      <c r="R20" s="7" t="s">
        <v>53</v>
      </c>
      <c r="S20" s="15" t="s">
        <v>53</v>
      </c>
      <c r="T20" s="7" t="s">
        <v>53</v>
      </c>
      <c r="U20" s="10" t="s">
        <v>312</v>
      </c>
      <c r="V20" s="10" t="s">
        <v>313</v>
      </c>
      <c r="W20" s="10" t="str">
        <f t="shared" si="0"/>
        <v>NOT SELECTED</v>
      </c>
      <c r="X20" s="10" t="str">
        <f t="shared" si="1"/>
        <v>NOT SELECTED</v>
      </c>
      <c r="Y20" s="10" t="s">
        <v>227</v>
      </c>
      <c r="Z20" s="10" t="s">
        <v>53</v>
      </c>
      <c r="AA20" s="10" t="s">
        <v>314</v>
      </c>
    </row>
    <row r="21" ht="92" customHeight="1" spans="1:27">
      <c r="A21" s="7" t="s">
        <v>53</v>
      </c>
      <c r="B21" s="10" t="s">
        <v>9</v>
      </c>
      <c r="C21" s="10" t="s">
        <v>14</v>
      </c>
      <c r="D21" s="7" t="s">
        <v>229</v>
      </c>
      <c r="E21" s="10" t="s">
        <v>147</v>
      </c>
      <c r="F21" s="10" t="s">
        <v>91</v>
      </c>
      <c r="G21" s="10">
        <v>6</v>
      </c>
      <c r="H21" s="10" t="s">
        <v>184</v>
      </c>
      <c r="I21" s="10" t="s">
        <v>315</v>
      </c>
      <c r="J21" s="10" t="s">
        <v>222</v>
      </c>
      <c r="K21" s="10" t="s">
        <v>185</v>
      </c>
      <c r="L21" s="10" t="s">
        <v>186</v>
      </c>
      <c r="M21" s="10" t="s">
        <v>316</v>
      </c>
      <c r="N21" s="7" t="s">
        <v>53</v>
      </c>
      <c r="O21" s="7" t="s">
        <v>53</v>
      </c>
      <c r="P21" s="7" t="s">
        <v>53</v>
      </c>
      <c r="Q21" s="7" t="s">
        <v>53</v>
      </c>
      <c r="R21" s="7" t="s">
        <v>53</v>
      </c>
      <c r="S21" s="15" t="s">
        <v>53</v>
      </c>
      <c r="T21" s="7" t="s">
        <v>53</v>
      </c>
      <c r="U21" s="10" t="s">
        <v>317</v>
      </c>
      <c r="V21" s="10" t="s">
        <v>318</v>
      </c>
      <c r="W21" s="10" t="str">
        <f t="shared" si="0"/>
        <v>NOT SELECTED</v>
      </c>
      <c r="X21" s="10" t="str">
        <f t="shared" si="1"/>
        <v>NOT SELECTED</v>
      </c>
      <c r="Y21" s="10" t="s">
        <v>319</v>
      </c>
      <c r="Z21" s="10" t="s">
        <v>320</v>
      </c>
      <c r="AA21" s="10" t="s">
        <v>321</v>
      </c>
    </row>
    <row r="22" ht="92" customHeight="1" spans="1:27">
      <c r="A22" s="7" t="s">
        <v>53</v>
      </c>
      <c r="B22" s="10" t="s">
        <v>9</v>
      </c>
      <c r="C22" s="10" t="s">
        <v>14</v>
      </c>
      <c r="D22" s="7" t="s">
        <v>229</v>
      </c>
      <c r="E22" s="10" t="s">
        <v>170</v>
      </c>
      <c r="F22" s="10" t="s">
        <v>171</v>
      </c>
      <c r="G22" s="10">
        <v>6</v>
      </c>
      <c r="H22" s="10" t="s">
        <v>190</v>
      </c>
      <c r="I22" s="10" t="s">
        <v>322</v>
      </c>
      <c r="J22" s="10" t="s">
        <v>222</v>
      </c>
      <c r="K22" s="10" t="s">
        <v>191</v>
      </c>
      <c r="L22" s="10" t="s">
        <v>192</v>
      </c>
      <c r="M22" s="10" t="s">
        <v>323</v>
      </c>
      <c r="N22" s="7" t="s">
        <v>53</v>
      </c>
      <c r="O22" s="7" t="s">
        <v>53</v>
      </c>
      <c r="P22" s="7" t="s">
        <v>53</v>
      </c>
      <c r="Q22" s="7" t="s">
        <v>53</v>
      </c>
      <c r="R22" s="7" t="s">
        <v>53</v>
      </c>
      <c r="S22" s="15" t="s">
        <v>53</v>
      </c>
      <c r="T22" s="7" t="s">
        <v>53</v>
      </c>
      <c r="U22" s="10" t="s">
        <v>324</v>
      </c>
      <c r="V22" s="10" t="s">
        <v>325</v>
      </c>
      <c r="W22" s="10" t="str">
        <f t="shared" si="0"/>
        <v>NOT SELECTED</v>
      </c>
      <c r="X22" s="10" t="str">
        <f t="shared" si="1"/>
        <v>NOT SELECTED</v>
      </c>
      <c r="Y22" s="10" t="s">
        <v>326</v>
      </c>
      <c r="Z22" s="10" t="s">
        <v>53</v>
      </c>
      <c r="AA22" s="10" t="s">
        <v>327</v>
      </c>
    </row>
    <row r="23" ht="92" customHeight="1" spans="1:27">
      <c r="A23" s="7" t="s">
        <v>53</v>
      </c>
      <c r="B23" s="10" t="s">
        <v>9</v>
      </c>
      <c r="C23" s="10" t="s">
        <v>14</v>
      </c>
      <c r="D23" s="7" t="s">
        <v>229</v>
      </c>
      <c r="E23" s="10" t="s">
        <v>196</v>
      </c>
      <c r="F23" s="10" t="s">
        <v>171</v>
      </c>
      <c r="G23" s="10">
        <v>8</v>
      </c>
      <c r="H23" s="10" t="s">
        <v>197</v>
      </c>
      <c r="I23" s="10" t="s">
        <v>328</v>
      </c>
      <c r="J23" s="10" t="s">
        <v>222</v>
      </c>
      <c r="K23" s="10" t="s">
        <v>198</v>
      </c>
      <c r="L23" s="10" t="s">
        <v>199</v>
      </c>
      <c r="M23" s="10" t="s">
        <v>329</v>
      </c>
      <c r="N23" s="7" t="s">
        <v>53</v>
      </c>
      <c r="O23" s="7" t="s">
        <v>53</v>
      </c>
      <c r="P23" s="7" t="s">
        <v>53</v>
      </c>
      <c r="Q23" s="7" t="s">
        <v>53</v>
      </c>
      <c r="R23" s="7" t="s">
        <v>53</v>
      </c>
      <c r="S23" s="15" t="s">
        <v>53</v>
      </c>
      <c r="T23" s="7" t="s">
        <v>53</v>
      </c>
      <c r="U23" s="10" t="s">
        <v>330</v>
      </c>
      <c r="V23" s="10" t="s">
        <v>331</v>
      </c>
      <c r="W23" s="10" t="str">
        <f t="shared" si="0"/>
        <v>NOT SELECTED</v>
      </c>
      <c r="X23" s="10" t="str">
        <f t="shared" si="1"/>
        <v>NOT SELECTED</v>
      </c>
      <c r="Y23" s="10" t="s">
        <v>332</v>
      </c>
      <c r="Z23" s="10" t="s">
        <v>53</v>
      </c>
      <c r="AA23" s="10" t="s">
        <v>333</v>
      </c>
    </row>
  </sheetData>
  <mergeCells count="2">
    <mergeCell ref="A1:AA1"/>
    <mergeCell ref="A2:AA2"/>
  </mergeCells>
  <dataValidations count="2">
    <dataValidation type="list" sqref="A5:A23">
      <formula1>"KEEP,DROP"</formula1>
    </dataValidation>
    <dataValidation type="list" sqref="D5:D23">
      <formula1>"new_deck,new_technology"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2"/>
  <sheetViews>
    <sheetView showGridLines="0" topLeftCell="A18" workbookViewId="0">
      <selection activeCell="J34" sqref="J34"/>
    </sheetView>
  </sheetViews>
  <sheetFormatPr defaultColWidth="9" defaultRowHeight="14"/>
  <cols>
    <col min="1" max="1" width="18" customWidth="1"/>
    <col min="2" max="2" width="30" customWidth="1"/>
    <col min="3" max="3" width="12" customWidth="1"/>
    <col min="4" max="4" width="11" customWidth="1"/>
    <col min="5" max="5" width="34" customWidth="1"/>
    <col min="6" max="6" width="12" customWidth="1"/>
    <col min="7" max="7" width="8" customWidth="1"/>
    <col min="8" max="8" width="28" customWidth="1"/>
    <col min="9" max="9" width="22" customWidth="1"/>
    <col min="10" max="10" width="28" customWidth="1"/>
    <col min="11" max="12" width="48" customWidth="1"/>
    <col min="13" max="13" width="66" customWidth="1"/>
  </cols>
  <sheetData>
    <row r="1" ht="30" customHeight="1" spans="1:13">
      <c r="A1" s="1" t="s">
        <v>334</v>
      </c>
      <c r="B1" s="1" t="s">
        <v>334</v>
      </c>
      <c r="C1" s="1" t="s">
        <v>334</v>
      </c>
      <c r="D1" s="1" t="s">
        <v>334</v>
      </c>
      <c r="E1" s="1" t="s">
        <v>334</v>
      </c>
      <c r="F1" s="1" t="s">
        <v>334</v>
      </c>
      <c r="G1" s="1" t="s">
        <v>334</v>
      </c>
      <c r="H1" s="1" t="s">
        <v>334</v>
      </c>
      <c r="I1" s="1" t="s">
        <v>334</v>
      </c>
      <c r="J1" s="1" t="s">
        <v>334</v>
      </c>
      <c r="K1" s="1" t="s">
        <v>334</v>
      </c>
      <c r="L1" s="1" t="s">
        <v>334</v>
      </c>
      <c r="M1" s="1" t="s">
        <v>334</v>
      </c>
    </row>
    <row r="2" ht="46" customHeight="1" spans="1:13">
      <c r="A2" s="2" t="s">
        <v>335</v>
      </c>
      <c r="B2" s="2" t="s">
        <v>335</v>
      </c>
      <c r="C2" s="2" t="s">
        <v>335</v>
      </c>
      <c r="D2" s="2" t="s">
        <v>335</v>
      </c>
      <c r="E2" s="2" t="s">
        <v>335</v>
      </c>
      <c r="F2" s="2" t="s">
        <v>335</v>
      </c>
      <c r="G2" s="2" t="s">
        <v>335</v>
      </c>
      <c r="H2" s="2" t="s">
        <v>335</v>
      </c>
      <c r="I2" s="2" t="s">
        <v>335</v>
      </c>
      <c r="J2" s="2" t="s">
        <v>335</v>
      </c>
      <c r="K2" s="2" t="s">
        <v>335</v>
      </c>
      <c r="L2" s="2" t="s">
        <v>335</v>
      </c>
      <c r="M2" s="2" t="s">
        <v>335</v>
      </c>
    </row>
    <row r="4" spans="1:13">
      <c r="A4" s="3" t="s">
        <v>336</v>
      </c>
      <c r="B4" s="3" t="s">
        <v>337</v>
      </c>
      <c r="C4" s="3" t="s">
        <v>3</v>
      </c>
      <c r="D4" s="3" t="s">
        <v>2</v>
      </c>
      <c r="E4" s="3" t="s">
        <v>64</v>
      </c>
      <c r="F4" s="3" t="s">
        <v>65</v>
      </c>
      <c r="G4" s="3" t="s">
        <v>66</v>
      </c>
      <c r="H4" s="3" t="s">
        <v>67</v>
      </c>
      <c r="I4" s="3" t="s">
        <v>68</v>
      </c>
      <c r="J4" s="3" t="s">
        <v>69</v>
      </c>
      <c r="K4" s="3" t="s">
        <v>61</v>
      </c>
      <c r="L4" s="3" t="s">
        <v>62</v>
      </c>
      <c r="M4" s="3" t="s">
        <v>63</v>
      </c>
    </row>
    <row r="5" ht="25" customHeight="1" spans="1:13">
      <c r="A5" s="5" t="s">
        <v>53</v>
      </c>
      <c r="B5" s="5" t="s">
        <v>53</v>
      </c>
      <c r="C5" s="8" t="s">
        <v>9</v>
      </c>
      <c r="D5" s="8" t="s">
        <v>8</v>
      </c>
      <c r="E5" s="8" t="s">
        <v>82</v>
      </c>
      <c r="F5" s="8" t="s">
        <v>83</v>
      </c>
      <c r="G5" s="9">
        <v>1</v>
      </c>
      <c r="H5" s="8" t="s">
        <v>84</v>
      </c>
      <c r="I5" s="8" t="s">
        <v>85</v>
      </c>
      <c r="J5" s="8" t="s">
        <v>86</v>
      </c>
      <c r="K5" s="8" t="s">
        <v>79</v>
      </c>
      <c r="L5" s="8" t="s">
        <v>80</v>
      </c>
      <c r="M5" s="8" t="s">
        <v>81</v>
      </c>
    </row>
    <row r="6" ht="25" customHeight="1" spans="1:13">
      <c r="A6" s="7" t="s">
        <v>53</v>
      </c>
      <c r="B6" s="7" t="s">
        <v>53</v>
      </c>
      <c r="C6" s="10" t="s">
        <v>9</v>
      </c>
      <c r="D6" s="10" t="s">
        <v>8</v>
      </c>
      <c r="E6" s="10" t="s">
        <v>82</v>
      </c>
      <c r="F6" s="10" t="s">
        <v>83</v>
      </c>
      <c r="G6" s="11">
        <v>2</v>
      </c>
      <c r="H6" s="10" t="s">
        <v>338</v>
      </c>
      <c r="I6" s="10" t="s">
        <v>339</v>
      </c>
      <c r="J6" s="10" t="s">
        <v>340</v>
      </c>
      <c r="K6" s="10" t="s">
        <v>341</v>
      </c>
      <c r="L6" s="10" t="s">
        <v>342</v>
      </c>
      <c r="M6" s="10" t="s">
        <v>343</v>
      </c>
    </row>
    <row r="7" ht="25" customHeight="1" spans="1:13">
      <c r="A7" s="7" t="s">
        <v>53</v>
      </c>
      <c r="B7" s="7" t="s">
        <v>53</v>
      </c>
      <c r="C7" s="10" t="s">
        <v>9</v>
      </c>
      <c r="D7" s="10" t="s">
        <v>8</v>
      </c>
      <c r="E7" s="10" t="s">
        <v>82</v>
      </c>
      <c r="F7" s="10" t="s">
        <v>83</v>
      </c>
      <c r="G7" s="11">
        <v>3</v>
      </c>
      <c r="H7" s="10" t="s">
        <v>84</v>
      </c>
      <c r="I7" s="10" t="s">
        <v>344</v>
      </c>
      <c r="J7" s="10" t="s">
        <v>345</v>
      </c>
      <c r="K7" s="10" t="s">
        <v>346</v>
      </c>
      <c r="L7" s="10" t="s">
        <v>347</v>
      </c>
      <c r="M7" s="10" t="s">
        <v>348</v>
      </c>
    </row>
    <row r="8" ht="25" customHeight="1" spans="1:13">
      <c r="A8" s="7" t="s">
        <v>349</v>
      </c>
      <c r="B8" s="12" t="s">
        <v>350</v>
      </c>
      <c r="C8" s="10" t="s">
        <v>9</v>
      </c>
      <c r="D8" s="10" t="s">
        <v>8</v>
      </c>
      <c r="E8" s="10" t="s">
        <v>82</v>
      </c>
      <c r="F8" s="10" t="s">
        <v>83</v>
      </c>
      <c r="G8" s="11">
        <v>4</v>
      </c>
      <c r="H8" s="10" t="s">
        <v>351</v>
      </c>
      <c r="I8" s="10" t="s">
        <v>352</v>
      </c>
      <c r="J8" s="10" t="s">
        <v>353</v>
      </c>
      <c r="K8" s="10" t="s">
        <v>354</v>
      </c>
      <c r="L8" s="10" t="s">
        <v>355</v>
      </c>
      <c r="M8" s="10" t="s">
        <v>356</v>
      </c>
    </row>
    <row r="9" ht="25" customHeight="1" spans="1:13">
      <c r="A9" s="7" t="s">
        <v>53</v>
      </c>
      <c r="B9" s="7" t="s">
        <v>53</v>
      </c>
      <c r="C9" s="10" t="s">
        <v>9</v>
      </c>
      <c r="D9" s="10" t="s">
        <v>8</v>
      </c>
      <c r="E9" s="10" t="s">
        <v>82</v>
      </c>
      <c r="F9" s="10" t="s">
        <v>83</v>
      </c>
      <c r="G9" s="11">
        <v>5</v>
      </c>
      <c r="H9" s="10" t="s">
        <v>84</v>
      </c>
      <c r="I9" s="10" t="s">
        <v>357</v>
      </c>
      <c r="J9" s="10" t="s">
        <v>358</v>
      </c>
      <c r="K9" s="10" t="s">
        <v>359</v>
      </c>
      <c r="L9" s="10" t="s">
        <v>360</v>
      </c>
      <c r="M9" s="10" t="s">
        <v>361</v>
      </c>
    </row>
    <row r="10" ht="25" customHeight="1" spans="1:13">
      <c r="A10" s="7" t="s">
        <v>53</v>
      </c>
      <c r="B10" s="7" t="s">
        <v>53</v>
      </c>
      <c r="C10" s="10" t="s">
        <v>9</v>
      </c>
      <c r="D10" s="10" t="s">
        <v>8</v>
      </c>
      <c r="E10" s="10" t="s">
        <v>82</v>
      </c>
      <c r="F10" s="10" t="s">
        <v>83</v>
      </c>
      <c r="G10" s="11">
        <v>6</v>
      </c>
      <c r="H10" s="10" t="s">
        <v>362</v>
      </c>
      <c r="I10" s="10" t="s">
        <v>363</v>
      </c>
      <c r="J10" s="10" t="s">
        <v>364</v>
      </c>
      <c r="K10" s="10" t="s">
        <v>365</v>
      </c>
      <c r="L10" s="10" t="s">
        <v>366</v>
      </c>
      <c r="M10" s="10" t="s">
        <v>367</v>
      </c>
    </row>
    <row r="11" ht="25" customHeight="1" spans="1:13">
      <c r="A11" s="7" t="s">
        <v>53</v>
      </c>
      <c r="B11" s="7" t="s">
        <v>53</v>
      </c>
      <c r="C11" s="10" t="s">
        <v>9</v>
      </c>
      <c r="D11" s="10" t="s">
        <v>8</v>
      </c>
      <c r="E11" s="10" t="s">
        <v>82</v>
      </c>
      <c r="F11" s="10" t="s">
        <v>83</v>
      </c>
      <c r="G11" s="11">
        <v>7</v>
      </c>
      <c r="H11" s="10" t="s">
        <v>129</v>
      </c>
      <c r="I11" s="10" t="s">
        <v>368</v>
      </c>
      <c r="J11" s="10" t="s">
        <v>369</v>
      </c>
      <c r="K11" s="10" t="s">
        <v>370</v>
      </c>
      <c r="L11" s="10" t="s">
        <v>371</v>
      </c>
      <c r="M11" s="10" t="s">
        <v>372</v>
      </c>
    </row>
    <row r="12" ht="25" customHeight="1" spans="1:13">
      <c r="A12" s="7" t="s">
        <v>53</v>
      </c>
      <c r="B12" s="7" t="s">
        <v>53</v>
      </c>
      <c r="C12" s="10" t="s">
        <v>9</v>
      </c>
      <c r="D12" s="10" t="s">
        <v>8</v>
      </c>
      <c r="E12" s="10" t="s">
        <v>82</v>
      </c>
      <c r="F12" s="10" t="s">
        <v>83</v>
      </c>
      <c r="G12" s="11">
        <v>8</v>
      </c>
      <c r="H12" s="10" t="s">
        <v>129</v>
      </c>
      <c r="I12" s="10" t="s">
        <v>130</v>
      </c>
      <c r="J12" s="10" t="s">
        <v>131</v>
      </c>
      <c r="K12" s="10" t="s">
        <v>126</v>
      </c>
      <c r="L12" s="10" t="s">
        <v>127</v>
      </c>
      <c r="M12" s="10" t="s">
        <v>128</v>
      </c>
    </row>
    <row r="13" ht="25" customHeight="1" spans="1:13">
      <c r="A13" s="7" t="s">
        <v>349</v>
      </c>
      <c r="B13" s="12" t="s">
        <v>373</v>
      </c>
      <c r="C13" s="10" t="s">
        <v>9</v>
      </c>
      <c r="D13" s="10" t="s">
        <v>8</v>
      </c>
      <c r="E13" s="10" t="s">
        <v>98</v>
      </c>
      <c r="F13" s="10" t="s">
        <v>99</v>
      </c>
      <c r="G13" s="11">
        <v>1</v>
      </c>
      <c r="H13" s="10" t="s">
        <v>374</v>
      </c>
      <c r="I13" s="10" t="s">
        <v>375</v>
      </c>
      <c r="J13" s="10" t="s">
        <v>376</v>
      </c>
      <c r="K13" s="10" t="s">
        <v>377</v>
      </c>
      <c r="L13" s="10" t="s">
        <v>378</v>
      </c>
      <c r="M13" s="10" t="s">
        <v>379</v>
      </c>
    </row>
    <row r="14" ht="25" customHeight="1" spans="1:13">
      <c r="A14" s="7" t="s">
        <v>53</v>
      </c>
      <c r="B14" s="7" t="s">
        <v>53</v>
      </c>
      <c r="C14" s="10" t="s">
        <v>9</v>
      </c>
      <c r="D14" s="10" t="s">
        <v>8</v>
      </c>
      <c r="E14" s="10" t="s">
        <v>98</v>
      </c>
      <c r="F14" s="10" t="s">
        <v>99</v>
      </c>
      <c r="G14" s="11">
        <v>2</v>
      </c>
      <c r="H14" s="10" t="s">
        <v>100</v>
      </c>
      <c r="I14" s="10" t="s">
        <v>101</v>
      </c>
      <c r="J14" s="10" t="s">
        <v>102</v>
      </c>
      <c r="K14" s="10" t="s">
        <v>95</v>
      </c>
      <c r="L14" s="10" t="s">
        <v>96</v>
      </c>
      <c r="M14" s="10" t="s">
        <v>97</v>
      </c>
    </row>
    <row r="15" ht="25" customHeight="1" spans="1:13">
      <c r="A15" s="7" t="s">
        <v>53</v>
      </c>
      <c r="B15" s="7" t="s">
        <v>53</v>
      </c>
      <c r="C15" s="10" t="s">
        <v>9</v>
      </c>
      <c r="D15" s="10" t="s">
        <v>8</v>
      </c>
      <c r="E15" s="10" t="s">
        <v>98</v>
      </c>
      <c r="F15" s="10" t="s">
        <v>99</v>
      </c>
      <c r="G15" s="11">
        <v>3</v>
      </c>
      <c r="H15" s="10" t="s">
        <v>380</v>
      </c>
      <c r="I15" s="10" t="s">
        <v>381</v>
      </c>
      <c r="J15" s="10" t="s">
        <v>382</v>
      </c>
      <c r="K15" s="10" t="s">
        <v>383</v>
      </c>
      <c r="L15" s="10" t="s">
        <v>384</v>
      </c>
      <c r="M15" s="10" t="s">
        <v>385</v>
      </c>
    </row>
    <row r="16" ht="25" customHeight="1" spans="1:13">
      <c r="A16" s="7" t="s">
        <v>53</v>
      </c>
      <c r="B16" s="7" t="s">
        <v>53</v>
      </c>
      <c r="C16" s="10" t="s">
        <v>9</v>
      </c>
      <c r="D16" s="10" t="s">
        <v>8</v>
      </c>
      <c r="E16" s="10" t="s">
        <v>98</v>
      </c>
      <c r="F16" s="10" t="s">
        <v>99</v>
      </c>
      <c r="G16" s="11">
        <v>4</v>
      </c>
      <c r="H16" s="10" t="s">
        <v>106</v>
      </c>
      <c r="I16" s="10" t="s">
        <v>107</v>
      </c>
      <c r="J16" s="10" t="s">
        <v>108</v>
      </c>
      <c r="K16" s="10" t="s">
        <v>103</v>
      </c>
      <c r="L16" s="10" t="s">
        <v>104</v>
      </c>
      <c r="M16" s="10" t="s">
        <v>105</v>
      </c>
    </row>
    <row r="17" ht="25" customHeight="1" spans="1:13">
      <c r="A17" s="7" t="s">
        <v>53</v>
      </c>
      <c r="B17" s="7" t="s">
        <v>53</v>
      </c>
      <c r="C17" s="10" t="s">
        <v>9</v>
      </c>
      <c r="D17" s="10" t="s">
        <v>8</v>
      </c>
      <c r="E17" s="10" t="s">
        <v>98</v>
      </c>
      <c r="F17" s="10" t="s">
        <v>99</v>
      </c>
      <c r="G17" s="11">
        <v>5</v>
      </c>
      <c r="H17" s="10" t="s">
        <v>84</v>
      </c>
      <c r="I17" s="10" t="s">
        <v>112</v>
      </c>
      <c r="J17" s="10" t="s">
        <v>113</v>
      </c>
      <c r="K17" s="10" t="s">
        <v>109</v>
      </c>
      <c r="L17" s="10" t="s">
        <v>110</v>
      </c>
      <c r="M17" s="10" t="s">
        <v>111</v>
      </c>
    </row>
    <row r="18" ht="25" customHeight="1" spans="1:13">
      <c r="A18" s="7" t="s">
        <v>53</v>
      </c>
      <c r="B18" s="7" t="s">
        <v>53</v>
      </c>
      <c r="C18" s="10" t="s">
        <v>9</v>
      </c>
      <c r="D18" s="10" t="s">
        <v>8</v>
      </c>
      <c r="E18" s="10" t="s">
        <v>98</v>
      </c>
      <c r="F18" s="10" t="s">
        <v>99</v>
      </c>
      <c r="G18" s="11">
        <v>6</v>
      </c>
      <c r="H18" s="10" t="s">
        <v>117</v>
      </c>
      <c r="I18" s="10" t="s">
        <v>118</v>
      </c>
      <c r="J18" s="10" t="s">
        <v>119</v>
      </c>
      <c r="K18" s="10" t="s">
        <v>114</v>
      </c>
      <c r="L18" s="10" t="s">
        <v>115</v>
      </c>
      <c r="M18" s="10" t="s">
        <v>116</v>
      </c>
    </row>
    <row r="19" ht="25" customHeight="1" spans="1:13">
      <c r="A19" s="7" t="s">
        <v>53</v>
      </c>
      <c r="B19" s="7" t="s">
        <v>53</v>
      </c>
      <c r="C19" s="10" t="s">
        <v>9</v>
      </c>
      <c r="D19" s="10" t="s">
        <v>8</v>
      </c>
      <c r="E19" s="10" t="s">
        <v>98</v>
      </c>
      <c r="F19" s="10" t="s">
        <v>99</v>
      </c>
      <c r="G19" s="11">
        <v>7</v>
      </c>
      <c r="H19" s="10" t="s">
        <v>386</v>
      </c>
      <c r="I19" s="10" t="s">
        <v>387</v>
      </c>
      <c r="J19" s="10" t="s">
        <v>388</v>
      </c>
      <c r="K19" s="10" t="s">
        <v>389</v>
      </c>
      <c r="L19" s="10" t="s">
        <v>390</v>
      </c>
      <c r="M19" s="10" t="s">
        <v>391</v>
      </c>
    </row>
    <row r="20" ht="25" customHeight="1" spans="1:13">
      <c r="A20" s="7" t="s">
        <v>53</v>
      </c>
      <c r="B20" s="7" t="s">
        <v>53</v>
      </c>
      <c r="C20" s="10" t="s">
        <v>9</v>
      </c>
      <c r="D20" s="10" t="s">
        <v>8</v>
      </c>
      <c r="E20" s="10" t="s">
        <v>98</v>
      </c>
      <c r="F20" s="10" t="s">
        <v>99</v>
      </c>
      <c r="G20" s="11">
        <v>8</v>
      </c>
      <c r="H20" s="10" t="s">
        <v>84</v>
      </c>
      <c r="I20" s="10" t="s">
        <v>392</v>
      </c>
      <c r="J20" s="10" t="s">
        <v>393</v>
      </c>
      <c r="K20" s="10" t="s">
        <v>394</v>
      </c>
      <c r="L20" s="10" t="s">
        <v>395</v>
      </c>
      <c r="M20" s="10" t="s">
        <v>396</v>
      </c>
    </row>
    <row r="21" ht="25" customHeight="1" spans="1:13">
      <c r="A21" s="7" t="s">
        <v>53</v>
      </c>
      <c r="B21" s="7" t="s">
        <v>53</v>
      </c>
      <c r="C21" s="10" t="s">
        <v>9</v>
      </c>
      <c r="D21" s="10" t="s">
        <v>8</v>
      </c>
      <c r="E21" s="10" t="s">
        <v>74</v>
      </c>
      <c r="F21" s="10" t="s">
        <v>75</v>
      </c>
      <c r="G21" s="11">
        <v>1</v>
      </c>
      <c r="H21" s="10" t="s">
        <v>76</v>
      </c>
      <c r="I21" s="10" t="s">
        <v>77</v>
      </c>
      <c r="J21" s="10" t="s">
        <v>78</v>
      </c>
      <c r="K21" s="10" t="s">
        <v>71</v>
      </c>
      <c r="L21" s="10" t="s">
        <v>72</v>
      </c>
      <c r="M21" s="10" t="s">
        <v>73</v>
      </c>
    </row>
    <row r="22" ht="25" customHeight="1" spans="1:13">
      <c r="A22" s="7" t="s">
        <v>53</v>
      </c>
      <c r="B22" s="7" t="s">
        <v>53</v>
      </c>
      <c r="C22" s="10" t="s">
        <v>9</v>
      </c>
      <c r="D22" s="10" t="s">
        <v>8</v>
      </c>
      <c r="E22" s="10" t="s">
        <v>74</v>
      </c>
      <c r="F22" s="10" t="s">
        <v>75</v>
      </c>
      <c r="G22" s="11">
        <v>2</v>
      </c>
      <c r="H22" s="10" t="s">
        <v>106</v>
      </c>
      <c r="I22" s="10" t="s">
        <v>397</v>
      </c>
      <c r="J22" s="10" t="s">
        <v>398</v>
      </c>
      <c r="K22" s="10" t="s">
        <v>399</v>
      </c>
      <c r="L22" s="10" t="s">
        <v>400</v>
      </c>
      <c r="M22" s="10" t="s">
        <v>401</v>
      </c>
    </row>
    <row r="23" ht="25" customHeight="1" spans="1:13">
      <c r="A23" s="7" t="s">
        <v>53</v>
      </c>
      <c r="B23" s="7" t="s">
        <v>53</v>
      </c>
      <c r="C23" s="10" t="s">
        <v>9</v>
      </c>
      <c r="D23" s="10" t="s">
        <v>8</v>
      </c>
      <c r="E23" s="10" t="s">
        <v>74</v>
      </c>
      <c r="F23" s="10" t="s">
        <v>75</v>
      </c>
      <c r="G23" s="11">
        <v>3</v>
      </c>
      <c r="H23" s="10" t="s">
        <v>402</v>
      </c>
      <c r="I23" s="10" t="s">
        <v>403</v>
      </c>
      <c r="J23" s="10" t="s">
        <v>404</v>
      </c>
      <c r="K23" s="10" t="s">
        <v>405</v>
      </c>
      <c r="L23" s="10" t="s">
        <v>406</v>
      </c>
      <c r="M23" s="10" t="s">
        <v>407</v>
      </c>
    </row>
    <row r="24" ht="25" customHeight="1" spans="1:13">
      <c r="A24" s="7" t="s">
        <v>53</v>
      </c>
      <c r="B24" s="7" t="s">
        <v>53</v>
      </c>
      <c r="C24" s="10" t="s">
        <v>9</v>
      </c>
      <c r="D24" s="10" t="s">
        <v>8</v>
      </c>
      <c r="E24" s="10" t="s">
        <v>74</v>
      </c>
      <c r="F24" s="10" t="s">
        <v>75</v>
      </c>
      <c r="G24" s="11">
        <v>4</v>
      </c>
      <c r="H24" s="10" t="s">
        <v>84</v>
      </c>
      <c r="I24" s="10" t="s">
        <v>408</v>
      </c>
      <c r="J24" s="10" t="s">
        <v>409</v>
      </c>
      <c r="K24" s="10" t="s">
        <v>410</v>
      </c>
      <c r="L24" s="10" t="s">
        <v>411</v>
      </c>
      <c r="M24" s="10" t="s">
        <v>412</v>
      </c>
    </row>
    <row r="25" ht="25" customHeight="1" spans="1:13">
      <c r="A25" s="7" t="s">
        <v>53</v>
      </c>
      <c r="B25" s="7" t="s">
        <v>53</v>
      </c>
      <c r="C25" s="10" t="s">
        <v>9</v>
      </c>
      <c r="D25" s="10" t="s">
        <v>8</v>
      </c>
      <c r="E25" s="10" t="s">
        <v>74</v>
      </c>
      <c r="F25" s="10" t="s">
        <v>75</v>
      </c>
      <c r="G25" s="11">
        <v>5</v>
      </c>
      <c r="H25" s="10" t="s">
        <v>92</v>
      </c>
      <c r="I25" s="10" t="s">
        <v>413</v>
      </c>
      <c r="J25" s="10" t="s">
        <v>414</v>
      </c>
      <c r="K25" s="10" t="s">
        <v>415</v>
      </c>
      <c r="L25" s="10" t="s">
        <v>416</v>
      </c>
      <c r="M25" s="10" t="s">
        <v>417</v>
      </c>
    </row>
    <row r="26" ht="25" customHeight="1" spans="1:13">
      <c r="A26" s="7" t="s">
        <v>53</v>
      </c>
      <c r="B26" s="7" t="s">
        <v>53</v>
      </c>
      <c r="C26" s="10" t="s">
        <v>9</v>
      </c>
      <c r="D26" s="10" t="s">
        <v>8</v>
      </c>
      <c r="E26" s="10" t="s">
        <v>74</v>
      </c>
      <c r="F26" s="10" t="s">
        <v>75</v>
      </c>
      <c r="G26" s="11">
        <v>6</v>
      </c>
      <c r="H26" s="10" t="s">
        <v>338</v>
      </c>
      <c r="I26" s="10" t="s">
        <v>418</v>
      </c>
      <c r="J26" s="10" t="s">
        <v>419</v>
      </c>
      <c r="K26" s="10" t="s">
        <v>420</v>
      </c>
      <c r="L26" s="10" t="s">
        <v>421</v>
      </c>
      <c r="M26" s="10" t="s">
        <v>422</v>
      </c>
    </row>
    <row r="27" ht="25" customHeight="1" spans="1:13">
      <c r="A27" s="7" t="s">
        <v>53</v>
      </c>
      <c r="B27" s="7" t="s">
        <v>53</v>
      </c>
      <c r="C27" s="10" t="s">
        <v>9</v>
      </c>
      <c r="D27" s="10" t="s">
        <v>8</v>
      </c>
      <c r="E27" s="10" t="s">
        <v>74</v>
      </c>
      <c r="F27" s="10" t="s">
        <v>75</v>
      </c>
      <c r="G27" s="11">
        <v>7</v>
      </c>
      <c r="H27" s="10" t="s">
        <v>423</v>
      </c>
      <c r="I27" s="10" t="s">
        <v>424</v>
      </c>
      <c r="J27" s="10" t="s">
        <v>425</v>
      </c>
      <c r="K27" s="10" t="s">
        <v>426</v>
      </c>
      <c r="L27" s="10" t="s">
        <v>427</v>
      </c>
      <c r="M27" s="10" t="s">
        <v>428</v>
      </c>
    </row>
    <row r="28" ht="25" customHeight="1" spans="1:13">
      <c r="A28" s="7" t="s">
        <v>53</v>
      </c>
      <c r="B28" s="7" t="s">
        <v>53</v>
      </c>
      <c r="C28" s="10" t="s">
        <v>9</v>
      </c>
      <c r="D28" s="10" t="s">
        <v>8</v>
      </c>
      <c r="E28" s="10" t="s">
        <v>74</v>
      </c>
      <c r="F28" s="10" t="s">
        <v>75</v>
      </c>
      <c r="G28" s="11">
        <v>8</v>
      </c>
      <c r="H28" s="10" t="s">
        <v>92</v>
      </c>
      <c r="I28" s="10" t="s">
        <v>135</v>
      </c>
      <c r="J28" s="10" t="s">
        <v>136</v>
      </c>
      <c r="K28" s="10" t="s">
        <v>132</v>
      </c>
      <c r="L28" s="10" t="s">
        <v>133</v>
      </c>
      <c r="M28" s="10" t="s">
        <v>134</v>
      </c>
    </row>
    <row r="29" ht="25" customHeight="1" spans="1:13">
      <c r="A29" s="7" t="s">
        <v>349</v>
      </c>
      <c r="B29" s="12" t="s">
        <v>429</v>
      </c>
      <c r="C29" s="10" t="s">
        <v>9</v>
      </c>
      <c r="D29" s="10" t="s">
        <v>8</v>
      </c>
      <c r="E29" s="10" t="s">
        <v>90</v>
      </c>
      <c r="F29" s="10" t="s">
        <v>91</v>
      </c>
      <c r="G29" s="11">
        <v>1</v>
      </c>
      <c r="H29" s="10" t="s">
        <v>362</v>
      </c>
      <c r="I29" s="10" t="s">
        <v>430</v>
      </c>
      <c r="J29" s="10" t="s">
        <v>431</v>
      </c>
      <c r="K29" s="10" t="s">
        <v>432</v>
      </c>
      <c r="L29" s="10" t="s">
        <v>433</v>
      </c>
      <c r="M29" s="10" t="s">
        <v>434</v>
      </c>
    </row>
    <row r="30" ht="25" customHeight="1" spans="1:13">
      <c r="A30" s="7" t="s">
        <v>53</v>
      </c>
      <c r="B30" s="7" t="s">
        <v>53</v>
      </c>
      <c r="C30" s="10" t="s">
        <v>9</v>
      </c>
      <c r="D30" s="10" t="s">
        <v>8</v>
      </c>
      <c r="E30" s="10" t="s">
        <v>90</v>
      </c>
      <c r="F30" s="10" t="s">
        <v>91</v>
      </c>
      <c r="G30" s="11">
        <v>2</v>
      </c>
      <c r="H30" s="10" t="s">
        <v>92</v>
      </c>
      <c r="I30" s="10" t="s">
        <v>93</v>
      </c>
      <c r="J30" s="10" t="s">
        <v>94</v>
      </c>
      <c r="K30" s="10" t="s">
        <v>87</v>
      </c>
      <c r="L30" s="10" t="s">
        <v>88</v>
      </c>
      <c r="M30" s="10" t="s">
        <v>89</v>
      </c>
    </row>
    <row r="31" ht="25" customHeight="1" spans="1:13">
      <c r="A31" s="7" t="s">
        <v>53</v>
      </c>
      <c r="B31" s="7" t="s">
        <v>53</v>
      </c>
      <c r="C31" s="10" t="s">
        <v>9</v>
      </c>
      <c r="D31" s="10" t="s">
        <v>8</v>
      </c>
      <c r="E31" s="10" t="s">
        <v>90</v>
      </c>
      <c r="F31" s="10" t="s">
        <v>91</v>
      </c>
      <c r="G31" s="11">
        <v>3</v>
      </c>
      <c r="H31" s="10" t="s">
        <v>84</v>
      </c>
      <c r="I31" s="10" t="s">
        <v>435</v>
      </c>
      <c r="J31" s="10" t="s">
        <v>436</v>
      </c>
      <c r="K31" s="10" t="s">
        <v>437</v>
      </c>
      <c r="L31" s="10" t="s">
        <v>438</v>
      </c>
      <c r="M31" s="10" t="s">
        <v>439</v>
      </c>
    </row>
    <row r="32" ht="25" customHeight="1" spans="1:13">
      <c r="A32" s="7" t="s">
        <v>53</v>
      </c>
      <c r="B32" s="7" t="s">
        <v>53</v>
      </c>
      <c r="C32" s="10" t="s">
        <v>9</v>
      </c>
      <c r="D32" s="10" t="s">
        <v>8</v>
      </c>
      <c r="E32" s="10" t="s">
        <v>90</v>
      </c>
      <c r="F32" s="10" t="s">
        <v>91</v>
      </c>
      <c r="G32" s="11">
        <v>4</v>
      </c>
      <c r="H32" s="10" t="s">
        <v>386</v>
      </c>
      <c r="I32" s="10" t="s">
        <v>387</v>
      </c>
      <c r="J32" s="10" t="s">
        <v>440</v>
      </c>
      <c r="K32" s="10" t="s">
        <v>441</v>
      </c>
      <c r="L32" s="10" t="s">
        <v>442</v>
      </c>
      <c r="M32" s="10" t="s">
        <v>443</v>
      </c>
    </row>
    <row r="33" ht="25" customHeight="1" spans="1:13">
      <c r="A33" s="7" t="s">
        <v>349</v>
      </c>
      <c r="B33" s="7" t="s">
        <v>444</v>
      </c>
      <c r="C33" s="10" t="s">
        <v>9</v>
      </c>
      <c r="D33" s="10" t="s">
        <v>8</v>
      </c>
      <c r="E33" s="10" t="s">
        <v>90</v>
      </c>
      <c r="F33" s="10" t="s">
        <v>91</v>
      </c>
      <c r="G33" s="11">
        <v>5</v>
      </c>
      <c r="H33" s="10" t="s">
        <v>423</v>
      </c>
      <c r="I33" s="10" t="s">
        <v>445</v>
      </c>
      <c r="J33" s="10" t="s">
        <v>446</v>
      </c>
      <c r="K33" s="10" t="s">
        <v>447</v>
      </c>
      <c r="L33" s="10" t="s">
        <v>448</v>
      </c>
      <c r="M33" s="10" t="s">
        <v>449</v>
      </c>
    </row>
    <row r="34" ht="25" customHeight="1" spans="1:13">
      <c r="A34" s="7" t="s">
        <v>349</v>
      </c>
      <c r="B34" s="12" t="s">
        <v>450</v>
      </c>
      <c r="C34" s="10" t="s">
        <v>9</v>
      </c>
      <c r="D34" s="10" t="s">
        <v>8</v>
      </c>
      <c r="E34" s="10" t="s">
        <v>90</v>
      </c>
      <c r="F34" s="10" t="s">
        <v>91</v>
      </c>
      <c r="G34" s="11">
        <v>6</v>
      </c>
      <c r="H34" s="10" t="s">
        <v>123</v>
      </c>
      <c r="I34" s="10" t="s">
        <v>124</v>
      </c>
      <c r="J34" s="10" t="s">
        <v>125</v>
      </c>
      <c r="K34" s="10" t="s">
        <v>120</v>
      </c>
      <c r="L34" s="10" t="s">
        <v>121</v>
      </c>
      <c r="M34" s="10" t="s">
        <v>122</v>
      </c>
    </row>
    <row r="35" ht="25" customHeight="1" spans="1:13">
      <c r="A35" s="7" t="s">
        <v>53</v>
      </c>
      <c r="B35" s="7" t="s">
        <v>53</v>
      </c>
      <c r="C35" s="10" t="s">
        <v>9</v>
      </c>
      <c r="D35" s="10" t="s">
        <v>8</v>
      </c>
      <c r="E35" s="10" t="s">
        <v>90</v>
      </c>
      <c r="F35" s="10" t="s">
        <v>91</v>
      </c>
      <c r="G35" s="11">
        <v>7</v>
      </c>
      <c r="H35" s="10" t="s">
        <v>84</v>
      </c>
      <c r="I35" s="10" t="s">
        <v>451</v>
      </c>
      <c r="J35" s="10" t="s">
        <v>452</v>
      </c>
      <c r="K35" s="10" t="s">
        <v>453</v>
      </c>
      <c r="L35" s="10" t="s">
        <v>454</v>
      </c>
      <c r="M35" s="10" t="s">
        <v>455</v>
      </c>
    </row>
    <row r="36" ht="25" customHeight="1" spans="1:13">
      <c r="A36" s="7" t="s">
        <v>53</v>
      </c>
      <c r="B36" s="7" t="s">
        <v>53</v>
      </c>
      <c r="C36" s="10" t="s">
        <v>9</v>
      </c>
      <c r="D36" s="10" t="s">
        <v>8</v>
      </c>
      <c r="E36" s="10" t="s">
        <v>90</v>
      </c>
      <c r="F36" s="10" t="s">
        <v>91</v>
      </c>
      <c r="G36" s="11">
        <v>8</v>
      </c>
      <c r="H36" s="10" t="s">
        <v>402</v>
      </c>
      <c r="I36" s="10" t="s">
        <v>456</v>
      </c>
      <c r="J36" s="10" t="s">
        <v>457</v>
      </c>
      <c r="K36" s="10" t="s">
        <v>458</v>
      </c>
      <c r="L36" s="10" t="s">
        <v>459</v>
      </c>
      <c r="M36" s="10" t="s">
        <v>460</v>
      </c>
    </row>
    <row r="37" ht="25" customHeight="1" spans="1:13">
      <c r="A37" s="7" t="s">
        <v>53</v>
      </c>
      <c r="B37" s="7" t="s">
        <v>53</v>
      </c>
      <c r="C37" s="10" t="s">
        <v>9</v>
      </c>
      <c r="D37" s="10" t="s">
        <v>8</v>
      </c>
      <c r="E37" s="10" t="s">
        <v>461</v>
      </c>
      <c r="F37" s="10" t="s">
        <v>171</v>
      </c>
      <c r="G37" s="11">
        <v>1</v>
      </c>
      <c r="H37" s="10" t="s">
        <v>84</v>
      </c>
      <c r="I37" s="10" t="s">
        <v>462</v>
      </c>
      <c r="J37" s="10" t="s">
        <v>463</v>
      </c>
      <c r="K37" s="10" t="s">
        <v>464</v>
      </c>
      <c r="L37" s="10" t="s">
        <v>465</v>
      </c>
      <c r="M37" s="10" t="s">
        <v>466</v>
      </c>
    </row>
    <row r="38" ht="25" customHeight="1" spans="1:13">
      <c r="A38" s="7" t="s">
        <v>53</v>
      </c>
      <c r="B38" s="7" t="s">
        <v>53</v>
      </c>
      <c r="C38" s="10" t="s">
        <v>9</v>
      </c>
      <c r="D38" s="10" t="s">
        <v>8</v>
      </c>
      <c r="E38" s="10" t="s">
        <v>461</v>
      </c>
      <c r="F38" s="10" t="s">
        <v>171</v>
      </c>
      <c r="G38" s="11">
        <v>2</v>
      </c>
      <c r="H38" s="10" t="s">
        <v>338</v>
      </c>
      <c r="I38" s="10" t="s">
        <v>467</v>
      </c>
      <c r="J38" s="10" t="s">
        <v>468</v>
      </c>
      <c r="K38" s="10" t="s">
        <v>469</v>
      </c>
      <c r="L38" s="10" t="s">
        <v>470</v>
      </c>
      <c r="M38" s="10" t="s">
        <v>471</v>
      </c>
    </row>
    <row r="39" ht="25" customHeight="1" spans="1:13">
      <c r="A39" s="7" t="s">
        <v>53</v>
      </c>
      <c r="B39" s="7" t="s">
        <v>53</v>
      </c>
      <c r="C39" s="10" t="s">
        <v>9</v>
      </c>
      <c r="D39" s="10" t="s">
        <v>8</v>
      </c>
      <c r="E39" s="10" t="s">
        <v>461</v>
      </c>
      <c r="F39" s="10" t="s">
        <v>171</v>
      </c>
      <c r="G39" s="11">
        <v>3</v>
      </c>
      <c r="H39" s="10" t="s">
        <v>84</v>
      </c>
      <c r="I39" s="10" t="s">
        <v>472</v>
      </c>
      <c r="J39" s="10" t="s">
        <v>473</v>
      </c>
      <c r="K39" s="10" t="s">
        <v>474</v>
      </c>
      <c r="L39" s="10" t="s">
        <v>475</v>
      </c>
      <c r="M39" s="10" t="s">
        <v>476</v>
      </c>
    </row>
    <row r="40" ht="25" customHeight="1" spans="1:13">
      <c r="A40" s="7" t="s">
        <v>53</v>
      </c>
      <c r="B40" s="7" t="s">
        <v>53</v>
      </c>
      <c r="C40" s="10" t="s">
        <v>9</v>
      </c>
      <c r="D40" s="10" t="s">
        <v>8</v>
      </c>
      <c r="E40" s="10" t="s">
        <v>461</v>
      </c>
      <c r="F40" s="10" t="s">
        <v>171</v>
      </c>
      <c r="G40" s="11">
        <v>4</v>
      </c>
      <c r="H40" s="10" t="s">
        <v>92</v>
      </c>
      <c r="I40" s="10" t="s">
        <v>477</v>
      </c>
      <c r="J40" s="10" t="s">
        <v>478</v>
      </c>
      <c r="K40" s="10" t="s">
        <v>479</v>
      </c>
      <c r="L40" s="10" t="s">
        <v>480</v>
      </c>
      <c r="M40" s="10" t="s">
        <v>481</v>
      </c>
    </row>
    <row r="41" ht="25" customHeight="1" spans="1:13">
      <c r="A41" s="7" t="s">
        <v>53</v>
      </c>
      <c r="B41" s="7" t="s">
        <v>53</v>
      </c>
      <c r="C41" s="10" t="s">
        <v>9</v>
      </c>
      <c r="D41" s="10" t="s">
        <v>8</v>
      </c>
      <c r="E41" s="10" t="s">
        <v>461</v>
      </c>
      <c r="F41" s="10" t="s">
        <v>171</v>
      </c>
      <c r="G41" s="11">
        <v>5</v>
      </c>
      <c r="H41" s="10" t="s">
        <v>123</v>
      </c>
      <c r="I41" s="10" t="s">
        <v>482</v>
      </c>
      <c r="J41" s="10" t="s">
        <v>483</v>
      </c>
      <c r="K41" s="10" t="s">
        <v>484</v>
      </c>
      <c r="L41" s="10" t="s">
        <v>485</v>
      </c>
      <c r="M41" s="10" t="s">
        <v>486</v>
      </c>
    </row>
    <row r="42" ht="25" customHeight="1" spans="1:13">
      <c r="A42" s="7" t="s">
        <v>53</v>
      </c>
      <c r="B42" s="7" t="s">
        <v>53</v>
      </c>
      <c r="C42" s="10" t="s">
        <v>9</v>
      </c>
      <c r="D42" s="10" t="s">
        <v>8</v>
      </c>
      <c r="E42" s="10" t="s">
        <v>461</v>
      </c>
      <c r="F42" s="10" t="s">
        <v>171</v>
      </c>
      <c r="G42" s="11">
        <v>6</v>
      </c>
      <c r="H42" s="10" t="s">
        <v>351</v>
      </c>
      <c r="I42" s="10" t="s">
        <v>487</v>
      </c>
      <c r="J42" s="10" t="s">
        <v>488</v>
      </c>
      <c r="K42" s="10" t="s">
        <v>489</v>
      </c>
      <c r="L42" s="10" t="s">
        <v>490</v>
      </c>
      <c r="M42" s="10" t="s">
        <v>491</v>
      </c>
    </row>
    <row r="43" ht="25" customHeight="1" spans="1:13">
      <c r="A43" s="7" t="s">
        <v>53</v>
      </c>
      <c r="B43" s="7" t="s">
        <v>53</v>
      </c>
      <c r="C43" s="10" t="s">
        <v>9</v>
      </c>
      <c r="D43" s="10" t="s">
        <v>8</v>
      </c>
      <c r="E43" s="10" t="s">
        <v>461</v>
      </c>
      <c r="F43" s="10" t="s">
        <v>171</v>
      </c>
      <c r="G43" s="11">
        <v>7</v>
      </c>
      <c r="H43" s="10" t="s">
        <v>492</v>
      </c>
      <c r="I43" s="10" t="s">
        <v>493</v>
      </c>
      <c r="J43" s="10" t="s">
        <v>494</v>
      </c>
      <c r="K43" s="10" t="s">
        <v>495</v>
      </c>
      <c r="L43" s="10" t="s">
        <v>496</v>
      </c>
      <c r="M43" s="10" t="s">
        <v>497</v>
      </c>
    </row>
    <row r="44" ht="25" customHeight="1" spans="1:13">
      <c r="A44" s="7" t="s">
        <v>53</v>
      </c>
      <c r="B44" s="7" t="s">
        <v>53</v>
      </c>
      <c r="C44" s="10" t="s">
        <v>9</v>
      </c>
      <c r="D44" s="10" t="s">
        <v>8</v>
      </c>
      <c r="E44" s="10" t="s">
        <v>461</v>
      </c>
      <c r="F44" s="10" t="s">
        <v>171</v>
      </c>
      <c r="G44" s="11">
        <v>8</v>
      </c>
      <c r="H44" s="10" t="s">
        <v>92</v>
      </c>
      <c r="I44" s="10" t="s">
        <v>498</v>
      </c>
      <c r="J44" s="10" t="s">
        <v>499</v>
      </c>
      <c r="K44" s="10" t="s">
        <v>500</v>
      </c>
      <c r="L44" s="10" t="s">
        <v>501</v>
      </c>
      <c r="M44" s="10" t="s">
        <v>502</v>
      </c>
    </row>
    <row r="45" ht="25" customHeight="1" spans="1:13">
      <c r="A45" s="7" t="s">
        <v>349</v>
      </c>
      <c r="B45" s="12" t="s">
        <v>503</v>
      </c>
      <c r="C45" s="10" t="s">
        <v>9</v>
      </c>
      <c r="D45" s="10" t="s">
        <v>8</v>
      </c>
      <c r="E45" s="10" t="s">
        <v>504</v>
      </c>
      <c r="F45" s="10" t="s">
        <v>155</v>
      </c>
      <c r="G45" s="11">
        <v>1</v>
      </c>
      <c r="H45" s="10" t="s">
        <v>505</v>
      </c>
      <c r="I45" s="10" t="s">
        <v>506</v>
      </c>
      <c r="J45" s="10" t="s">
        <v>507</v>
      </c>
      <c r="K45" s="10" t="s">
        <v>508</v>
      </c>
      <c r="L45" s="10" t="s">
        <v>509</v>
      </c>
      <c r="M45" s="10" t="s">
        <v>510</v>
      </c>
    </row>
    <row r="46" ht="25" customHeight="1" spans="1:13">
      <c r="A46" s="7" t="s">
        <v>53</v>
      </c>
      <c r="B46" s="7" t="s">
        <v>53</v>
      </c>
      <c r="C46" s="10" t="s">
        <v>9</v>
      </c>
      <c r="D46" s="10" t="s">
        <v>8</v>
      </c>
      <c r="E46" s="10" t="s">
        <v>504</v>
      </c>
      <c r="F46" s="10" t="s">
        <v>155</v>
      </c>
      <c r="G46" s="11">
        <v>2</v>
      </c>
      <c r="H46" s="10" t="s">
        <v>84</v>
      </c>
      <c r="I46" s="10" t="s">
        <v>462</v>
      </c>
      <c r="J46" s="10" t="s">
        <v>511</v>
      </c>
      <c r="K46" s="10" t="s">
        <v>512</v>
      </c>
      <c r="L46" s="10" t="s">
        <v>513</v>
      </c>
      <c r="M46" s="10" t="s">
        <v>514</v>
      </c>
    </row>
    <row r="47" ht="25" customHeight="1" spans="1:13">
      <c r="A47" s="7" t="s">
        <v>53</v>
      </c>
      <c r="B47" s="7" t="s">
        <v>53</v>
      </c>
      <c r="C47" s="10" t="s">
        <v>9</v>
      </c>
      <c r="D47" s="10" t="s">
        <v>8</v>
      </c>
      <c r="E47" s="10" t="s">
        <v>504</v>
      </c>
      <c r="F47" s="10" t="s">
        <v>155</v>
      </c>
      <c r="G47" s="11">
        <v>3</v>
      </c>
      <c r="H47" s="10" t="s">
        <v>106</v>
      </c>
      <c r="I47" s="10" t="s">
        <v>515</v>
      </c>
      <c r="J47" s="10" t="s">
        <v>516</v>
      </c>
      <c r="K47" s="10" t="s">
        <v>517</v>
      </c>
      <c r="L47" s="10" t="s">
        <v>518</v>
      </c>
      <c r="M47" s="10" t="s">
        <v>519</v>
      </c>
    </row>
    <row r="48" ht="25" customHeight="1" spans="1:13">
      <c r="A48" s="7" t="s">
        <v>53</v>
      </c>
      <c r="B48" s="7" t="s">
        <v>53</v>
      </c>
      <c r="C48" s="10" t="s">
        <v>9</v>
      </c>
      <c r="D48" s="10" t="s">
        <v>8</v>
      </c>
      <c r="E48" s="10" t="s">
        <v>504</v>
      </c>
      <c r="F48" s="10" t="s">
        <v>155</v>
      </c>
      <c r="G48" s="11">
        <v>4</v>
      </c>
      <c r="H48" s="10" t="s">
        <v>338</v>
      </c>
      <c r="I48" s="10" t="s">
        <v>520</v>
      </c>
      <c r="J48" s="10" t="s">
        <v>521</v>
      </c>
      <c r="K48" s="10" t="s">
        <v>522</v>
      </c>
      <c r="L48" s="10" t="s">
        <v>523</v>
      </c>
      <c r="M48" s="10" t="s">
        <v>524</v>
      </c>
    </row>
    <row r="49" ht="25" customHeight="1" spans="1:13">
      <c r="A49" s="7" t="s">
        <v>53</v>
      </c>
      <c r="B49" s="7" t="s">
        <v>53</v>
      </c>
      <c r="C49" s="10" t="s">
        <v>9</v>
      </c>
      <c r="D49" s="10" t="s">
        <v>8</v>
      </c>
      <c r="E49" s="10" t="s">
        <v>504</v>
      </c>
      <c r="F49" s="10" t="s">
        <v>155</v>
      </c>
      <c r="G49" s="11">
        <v>5</v>
      </c>
      <c r="H49" s="10" t="s">
        <v>123</v>
      </c>
      <c r="I49" s="10" t="s">
        <v>482</v>
      </c>
      <c r="J49" s="10" t="s">
        <v>525</v>
      </c>
      <c r="K49" s="10" t="s">
        <v>484</v>
      </c>
      <c r="L49" s="10" t="s">
        <v>485</v>
      </c>
      <c r="M49" s="10" t="s">
        <v>526</v>
      </c>
    </row>
    <row r="50" ht="25" customHeight="1" spans="1:13">
      <c r="A50" s="7" t="s">
        <v>53</v>
      </c>
      <c r="B50" s="7" t="s">
        <v>53</v>
      </c>
      <c r="C50" s="10" t="s">
        <v>9</v>
      </c>
      <c r="D50" s="10" t="s">
        <v>8</v>
      </c>
      <c r="E50" s="10" t="s">
        <v>504</v>
      </c>
      <c r="F50" s="10" t="s">
        <v>155</v>
      </c>
      <c r="G50" s="11">
        <v>6</v>
      </c>
      <c r="H50" s="10" t="s">
        <v>84</v>
      </c>
      <c r="I50" s="10" t="s">
        <v>527</v>
      </c>
      <c r="J50" s="10" t="s">
        <v>528</v>
      </c>
      <c r="K50" s="10" t="s">
        <v>529</v>
      </c>
      <c r="L50" s="10" t="s">
        <v>530</v>
      </c>
      <c r="M50" s="10" t="s">
        <v>531</v>
      </c>
    </row>
    <row r="51" ht="25" customHeight="1" spans="1:13">
      <c r="A51" s="7" t="s">
        <v>53</v>
      </c>
      <c r="B51" s="7" t="s">
        <v>53</v>
      </c>
      <c r="C51" s="10" t="s">
        <v>9</v>
      </c>
      <c r="D51" s="10" t="s">
        <v>8</v>
      </c>
      <c r="E51" s="10" t="s">
        <v>504</v>
      </c>
      <c r="F51" s="10" t="s">
        <v>155</v>
      </c>
      <c r="G51" s="11">
        <v>7</v>
      </c>
      <c r="H51" s="10" t="s">
        <v>84</v>
      </c>
      <c r="I51" s="10" t="s">
        <v>532</v>
      </c>
      <c r="J51" s="10" t="s">
        <v>533</v>
      </c>
      <c r="K51" s="10" t="s">
        <v>534</v>
      </c>
      <c r="L51" s="10" t="s">
        <v>535</v>
      </c>
      <c r="M51" s="10" t="s">
        <v>536</v>
      </c>
    </row>
    <row r="52" ht="25" customHeight="1" spans="1:13">
      <c r="A52" s="7" t="s">
        <v>53</v>
      </c>
      <c r="B52" s="7" t="s">
        <v>53</v>
      </c>
      <c r="C52" s="10" t="s">
        <v>9</v>
      </c>
      <c r="D52" s="10" t="s">
        <v>8</v>
      </c>
      <c r="E52" s="10" t="s">
        <v>504</v>
      </c>
      <c r="F52" s="10" t="s">
        <v>155</v>
      </c>
      <c r="G52" s="11">
        <v>8</v>
      </c>
      <c r="H52" s="10" t="s">
        <v>84</v>
      </c>
      <c r="I52" s="10" t="s">
        <v>537</v>
      </c>
      <c r="J52" s="10" t="s">
        <v>538</v>
      </c>
      <c r="K52" s="10" t="s">
        <v>539</v>
      </c>
      <c r="L52" s="10" t="s">
        <v>540</v>
      </c>
      <c r="M52" s="10" t="s">
        <v>541</v>
      </c>
    </row>
    <row r="53" ht="25" customHeight="1" spans="1:13">
      <c r="A53" s="7" t="s">
        <v>53</v>
      </c>
      <c r="B53" s="7" t="s">
        <v>53</v>
      </c>
      <c r="C53" s="10" t="s">
        <v>9</v>
      </c>
      <c r="D53" s="10" t="s">
        <v>14</v>
      </c>
      <c r="E53" s="10" t="s">
        <v>542</v>
      </c>
      <c r="F53" s="10" t="s">
        <v>83</v>
      </c>
      <c r="G53" s="11">
        <v>1</v>
      </c>
      <c r="H53" s="10" t="s">
        <v>76</v>
      </c>
      <c r="I53" s="10" t="s">
        <v>543</v>
      </c>
      <c r="J53" s="10" t="s">
        <v>544</v>
      </c>
      <c r="K53" s="10" t="s">
        <v>545</v>
      </c>
      <c r="L53" s="10" t="s">
        <v>546</v>
      </c>
      <c r="M53" s="10" t="s">
        <v>547</v>
      </c>
    </row>
    <row r="54" ht="25" customHeight="1" spans="1:13">
      <c r="A54" s="7" t="s">
        <v>53</v>
      </c>
      <c r="B54" s="7" t="s">
        <v>53</v>
      </c>
      <c r="C54" s="10" t="s">
        <v>9</v>
      </c>
      <c r="D54" s="10" t="s">
        <v>14</v>
      </c>
      <c r="E54" s="10" t="s">
        <v>542</v>
      </c>
      <c r="F54" s="10" t="s">
        <v>83</v>
      </c>
      <c r="G54" s="11">
        <v>2</v>
      </c>
      <c r="H54" s="10" t="s">
        <v>548</v>
      </c>
      <c r="I54" s="10" t="s">
        <v>549</v>
      </c>
      <c r="J54" s="10" t="s">
        <v>550</v>
      </c>
      <c r="K54" s="10" t="s">
        <v>551</v>
      </c>
      <c r="L54" s="10" t="s">
        <v>552</v>
      </c>
      <c r="M54" s="10" t="s">
        <v>553</v>
      </c>
    </row>
    <row r="55" ht="25" customHeight="1" spans="1:13">
      <c r="A55" s="7" t="s">
        <v>53</v>
      </c>
      <c r="B55" s="7" t="s">
        <v>53</v>
      </c>
      <c r="C55" s="10" t="s">
        <v>9</v>
      </c>
      <c r="D55" s="10" t="s">
        <v>14</v>
      </c>
      <c r="E55" s="10" t="s">
        <v>542</v>
      </c>
      <c r="F55" s="10" t="s">
        <v>83</v>
      </c>
      <c r="G55" s="11">
        <v>3</v>
      </c>
      <c r="H55" s="10" t="s">
        <v>197</v>
      </c>
      <c r="I55" s="10" t="s">
        <v>554</v>
      </c>
      <c r="J55" s="10" t="s">
        <v>555</v>
      </c>
      <c r="K55" s="10" t="s">
        <v>556</v>
      </c>
      <c r="L55" s="10" t="s">
        <v>557</v>
      </c>
      <c r="M55" s="10" t="s">
        <v>558</v>
      </c>
    </row>
    <row r="56" ht="25" customHeight="1" spans="1:13">
      <c r="A56" s="7" t="s">
        <v>53</v>
      </c>
      <c r="B56" s="7" t="s">
        <v>53</v>
      </c>
      <c r="C56" s="10" t="s">
        <v>9</v>
      </c>
      <c r="D56" s="10" t="s">
        <v>14</v>
      </c>
      <c r="E56" s="10" t="s">
        <v>542</v>
      </c>
      <c r="F56" s="10" t="s">
        <v>83</v>
      </c>
      <c r="G56" s="11">
        <v>4</v>
      </c>
      <c r="H56" s="10" t="s">
        <v>156</v>
      </c>
      <c r="I56" s="10" t="s">
        <v>559</v>
      </c>
      <c r="J56" s="10" t="s">
        <v>560</v>
      </c>
      <c r="K56" s="10" t="s">
        <v>561</v>
      </c>
      <c r="L56" s="10" t="s">
        <v>562</v>
      </c>
      <c r="M56" s="10" t="s">
        <v>563</v>
      </c>
    </row>
    <row r="57" ht="25" customHeight="1" spans="1:13">
      <c r="A57" s="7" t="s">
        <v>53</v>
      </c>
      <c r="B57" s="7" t="s">
        <v>53</v>
      </c>
      <c r="C57" s="10" t="s">
        <v>9</v>
      </c>
      <c r="D57" s="10" t="s">
        <v>14</v>
      </c>
      <c r="E57" s="10" t="s">
        <v>542</v>
      </c>
      <c r="F57" s="10" t="s">
        <v>83</v>
      </c>
      <c r="G57" s="11">
        <v>5</v>
      </c>
      <c r="H57" s="10" t="s">
        <v>156</v>
      </c>
      <c r="I57" s="10" t="s">
        <v>564</v>
      </c>
      <c r="J57" s="10" t="s">
        <v>565</v>
      </c>
      <c r="K57" s="10" t="s">
        <v>566</v>
      </c>
      <c r="L57" s="10" t="s">
        <v>567</v>
      </c>
      <c r="M57" s="10" t="s">
        <v>568</v>
      </c>
    </row>
    <row r="58" ht="25" customHeight="1" spans="1:13">
      <c r="A58" s="7" t="s">
        <v>53</v>
      </c>
      <c r="B58" s="7" t="s">
        <v>53</v>
      </c>
      <c r="C58" s="10" t="s">
        <v>9</v>
      </c>
      <c r="D58" s="10" t="s">
        <v>14</v>
      </c>
      <c r="E58" s="10" t="s">
        <v>542</v>
      </c>
      <c r="F58" s="10" t="s">
        <v>83</v>
      </c>
      <c r="G58" s="11">
        <v>6</v>
      </c>
      <c r="H58" s="10" t="s">
        <v>569</v>
      </c>
      <c r="I58" s="10" t="s">
        <v>570</v>
      </c>
      <c r="J58" s="10" t="s">
        <v>571</v>
      </c>
      <c r="K58" s="10" t="s">
        <v>572</v>
      </c>
      <c r="L58" s="10" t="s">
        <v>573</v>
      </c>
      <c r="M58" s="10" t="s">
        <v>574</v>
      </c>
    </row>
    <row r="59" ht="25" customHeight="1" spans="1:13">
      <c r="A59" s="7" t="s">
        <v>53</v>
      </c>
      <c r="B59" s="7" t="s">
        <v>53</v>
      </c>
      <c r="C59" s="10" t="s">
        <v>9</v>
      </c>
      <c r="D59" s="10" t="s">
        <v>14</v>
      </c>
      <c r="E59" s="10" t="s">
        <v>542</v>
      </c>
      <c r="F59" s="10" t="s">
        <v>83</v>
      </c>
      <c r="G59" s="11">
        <v>7</v>
      </c>
      <c r="H59" s="10" t="s">
        <v>569</v>
      </c>
      <c r="I59" s="10" t="s">
        <v>575</v>
      </c>
      <c r="J59" s="10" t="s">
        <v>576</v>
      </c>
      <c r="K59" s="10" t="s">
        <v>577</v>
      </c>
      <c r="L59" s="10" t="s">
        <v>578</v>
      </c>
      <c r="M59" s="10" t="s">
        <v>579</v>
      </c>
    </row>
    <row r="60" ht="25" customHeight="1" spans="1:13">
      <c r="A60" s="7" t="s">
        <v>53</v>
      </c>
      <c r="B60" s="7" t="s">
        <v>53</v>
      </c>
      <c r="C60" s="10" t="s">
        <v>9</v>
      </c>
      <c r="D60" s="10" t="s">
        <v>14</v>
      </c>
      <c r="E60" s="10" t="s">
        <v>542</v>
      </c>
      <c r="F60" s="10" t="s">
        <v>83</v>
      </c>
      <c r="G60" s="11">
        <v>8</v>
      </c>
      <c r="H60" s="10" t="s">
        <v>197</v>
      </c>
      <c r="I60" s="10" t="s">
        <v>580</v>
      </c>
      <c r="J60" s="10" t="s">
        <v>581</v>
      </c>
      <c r="K60" s="10" t="s">
        <v>582</v>
      </c>
      <c r="L60" s="10" t="s">
        <v>583</v>
      </c>
      <c r="M60" s="10" t="s">
        <v>584</v>
      </c>
    </row>
    <row r="61" ht="25" customHeight="1" spans="1:13">
      <c r="A61" s="7" t="s">
        <v>53</v>
      </c>
      <c r="B61" s="7" t="s">
        <v>53</v>
      </c>
      <c r="C61" s="10" t="s">
        <v>9</v>
      </c>
      <c r="D61" s="10" t="s">
        <v>14</v>
      </c>
      <c r="E61" s="10" t="s">
        <v>585</v>
      </c>
      <c r="F61" s="10" t="s">
        <v>83</v>
      </c>
      <c r="G61" s="11">
        <v>1</v>
      </c>
      <c r="H61" s="10" t="s">
        <v>586</v>
      </c>
      <c r="I61" s="10" t="s">
        <v>403</v>
      </c>
      <c r="J61" s="10" t="s">
        <v>587</v>
      </c>
      <c r="K61" s="10" t="s">
        <v>588</v>
      </c>
      <c r="L61" s="10" t="s">
        <v>589</v>
      </c>
      <c r="M61" s="10" t="s">
        <v>590</v>
      </c>
    </row>
    <row r="62" ht="25" customHeight="1" spans="1:13">
      <c r="A62" s="7" t="s">
        <v>53</v>
      </c>
      <c r="B62" s="7" t="s">
        <v>53</v>
      </c>
      <c r="C62" s="10" t="s">
        <v>9</v>
      </c>
      <c r="D62" s="10" t="s">
        <v>14</v>
      </c>
      <c r="E62" s="10" t="s">
        <v>585</v>
      </c>
      <c r="F62" s="10" t="s">
        <v>83</v>
      </c>
      <c r="G62" s="11">
        <v>2</v>
      </c>
      <c r="H62" s="10" t="s">
        <v>148</v>
      </c>
      <c r="I62" s="10" t="s">
        <v>591</v>
      </c>
      <c r="J62" s="10" t="s">
        <v>592</v>
      </c>
      <c r="K62" s="10" t="s">
        <v>593</v>
      </c>
      <c r="L62" s="10" t="s">
        <v>594</v>
      </c>
      <c r="M62" s="10" t="s">
        <v>595</v>
      </c>
    </row>
    <row r="63" ht="25" customHeight="1" spans="1:13">
      <c r="A63" s="7" t="s">
        <v>53</v>
      </c>
      <c r="B63" s="7" t="s">
        <v>53</v>
      </c>
      <c r="C63" s="10" t="s">
        <v>9</v>
      </c>
      <c r="D63" s="10" t="s">
        <v>14</v>
      </c>
      <c r="E63" s="10" t="s">
        <v>585</v>
      </c>
      <c r="F63" s="10" t="s">
        <v>83</v>
      </c>
      <c r="G63" s="11">
        <v>3</v>
      </c>
      <c r="H63" s="10" t="s">
        <v>596</v>
      </c>
      <c r="I63" s="10" t="s">
        <v>597</v>
      </c>
      <c r="J63" s="10" t="s">
        <v>598</v>
      </c>
      <c r="K63" s="10" t="s">
        <v>599</v>
      </c>
      <c r="L63" s="10" t="s">
        <v>600</v>
      </c>
      <c r="M63" s="10" t="s">
        <v>601</v>
      </c>
    </row>
    <row r="64" ht="25" customHeight="1" spans="1:13">
      <c r="A64" s="7" t="s">
        <v>53</v>
      </c>
      <c r="B64" s="7" t="s">
        <v>53</v>
      </c>
      <c r="C64" s="10" t="s">
        <v>9</v>
      </c>
      <c r="D64" s="10" t="s">
        <v>14</v>
      </c>
      <c r="E64" s="10" t="s">
        <v>585</v>
      </c>
      <c r="F64" s="10" t="s">
        <v>83</v>
      </c>
      <c r="G64" s="11">
        <v>4</v>
      </c>
      <c r="H64" s="10" t="s">
        <v>197</v>
      </c>
      <c r="I64" s="10" t="s">
        <v>602</v>
      </c>
      <c r="J64" s="10" t="s">
        <v>603</v>
      </c>
      <c r="K64" s="10" t="s">
        <v>604</v>
      </c>
      <c r="L64" s="10" t="s">
        <v>605</v>
      </c>
      <c r="M64" s="10" t="s">
        <v>606</v>
      </c>
    </row>
    <row r="65" ht="25" customHeight="1" spans="1:13">
      <c r="A65" s="7" t="s">
        <v>53</v>
      </c>
      <c r="B65" s="7" t="s">
        <v>53</v>
      </c>
      <c r="C65" s="10" t="s">
        <v>9</v>
      </c>
      <c r="D65" s="10" t="s">
        <v>14</v>
      </c>
      <c r="E65" s="10" t="s">
        <v>585</v>
      </c>
      <c r="F65" s="10" t="s">
        <v>83</v>
      </c>
      <c r="G65" s="11">
        <v>5</v>
      </c>
      <c r="H65" s="10" t="s">
        <v>607</v>
      </c>
      <c r="I65" s="10" t="s">
        <v>608</v>
      </c>
      <c r="J65" s="10" t="s">
        <v>609</v>
      </c>
      <c r="K65" s="10" t="s">
        <v>610</v>
      </c>
      <c r="L65" s="10" t="s">
        <v>611</v>
      </c>
      <c r="M65" s="10" t="s">
        <v>612</v>
      </c>
    </row>
    <row r="66" ht="25" customHeight="1" spans="1:13">
      <c r="A66" s="7" t="s">
        <v>53</v>
      </c>
      <c r="B66" s="7" t="s">
        <v>53</v>
      </c>
      <c r="C66" s="10" t="s">
        <v>9</v>
      </c>
      <c r="D66" s="10" t="s">
        <v>14</v>
      </c>
      <c r="E66" s="10" t="s">
        <v>585</v>
      </c>
      <c r="F66" s="10" t="s">
        <v>83</v>
      </c>
      <c r="G66" s="11">
        <v>6</v>
      </c>
      <c r="H66" s="10" t="s">
        <v>607</v>
      </c>
      <c r="I66" s="10" t="s">
        <v>613</v>
      </c>
      <c r="J66" s="10" t="s">
        <v>614</v>
      </c>
      <c r="K66" s="10" t="s">
        <v>615</v>
      </c>
      <c r="L66" s="10" t="s">
        <v>616</v>
      </c>
      <c r="M66" s="10" t="s">
        <v>617</v>
      </c>
    </row>
    <row r="67" ht="25" customHeight="1" spans="1:13">
      <c r="A67" s="7" t="s">
        <v>53</v>
      </c>
      <c r="B67" s="7" t="s">
        <v>53</v>
      </c>
      <c r="C67" s="10" t="s">
        <v>9</v>
      </c>
      <c r="D67" s="10" t="s">
        <v>14</v>
      </c>
      <c r="E67" s="10" t="s">
        <v>585</v>
      </c>
      <c r="F67" s="10" t="s">
        <v>83</v>
      </c>
      <c r="G67" s="11">
        <v>7</v>
      </c>
      <c r="H67" s="10" t="s">
        <v>618</v>
      </c>
      <c r="I67" s="10" t="s">
        <v>619</v>
      </c>
      <c r="J67" s="10" t="s">
        <v>620</v>
      </c>
      <c r="K67" s="10" t="s">
        <v>621</v>
      </c>
      <c r="L67" s="10" t="s">
        <v>622</v>
      </c>
      <c r="M67" s="10" t="s">
        <v>623</v>
      </c>
    </row>
    <row r="68" ht="25" customHeight="1" spans="1:13">
      <c r="A68" s="7" t="s">
        <v>53</v>
      </c>
      <c r="B68" s="7" t="s">
        <v>53</v>
      </c>
      <c r="C68" s="10" t="s">
        <v>9</v>
      </c>
      <c r="D68" s="10" t="s">
        <v>14</v>
      </c>
      <c r="E68" s="10" t="s">
        <v>585</v>
      </c>
      <c r="F68" s="10" t="s">
        <v>83</v>
      </c>
      <c r="G68" s="11">
        <v>8</v>
      </c>
      <c r="H68" s="10" t="s">
        <v>148</v>
      </c>
      <c r="I68" s="10" t="s">
        <v>624</v>
      </c>
      <c r="J68" s="10" t="s">
        <v>625</v>
      </c>
      <c r="K68" s="10" t="s">
        <v>626</v>
      </c>
      <c r="L68" s="10" t="s">
        <v>627</v>
      </c>
      <c r="M68" s="10" t="s">
        <v>628</v>
      </c>
    </row>
    <row r="69" ht="25" customHeight="1" spans="1:13">
      <c r="A69" s="7" t="s">
        <v>53</v>
      </c>
      <c r="B69" s="7" t="s">
        <v>53</v>
      </c>
      <c r="C69" s="10" t="s">
        <v>9</v>
      </c>
      <c r="D69" s="10" t="s">
        <v>14</v>
      </c>
      <c r="E69" s="10" t="s">
        <v>629</v>
      </c>
      <c r="F69" s="10" t="s">
        <v>99</v>
      </c>
      <c r="G69" s="11">
        <v>1</v>
      </c>
      <c r="H69" s="10" t="s">
        <v>164</v>
      </c>
      <c r="I69" s="10" t="s">
        <v>630</v>
      </c>
      <c r="J69" s="10" t="s">
        <v>631</v>
      </c>
      <c r="K69" s="10" t="s">
        <v>632</v>
      </c>
      <c r="L69" s="10" t="s">
        <v>633</v>
      </c>
      <c r="M69" s="10" t="s">
        <v>634</v>
      </c>
    </row>
    <row r="70" ht="25" customHeight="1" spans="1:13">
      <c r="A70" s="7" t="s">
        <v>53</v>
      </c>
      <c r="B70" s="7" t="s">
        <v>53</v>
      </c>
      <c r="C70" s="10" t="s">
        <v>9</v>
      </c>
      <c r="D70" s="10" t="s">
        <v>14</v>
      </c>
      <c r="E70" s="10" t="s">
        <v>629</v>
      </c>
      <c r="F70" s="10" t="s">
        <v>99</v>
      </c>
      <c r="G70" s="11">
        <v>2</v>
      </c>
      <c r="H70" s="10" t="s">
        <v>164</v>
      </c>
      <c r="I70" s="10" t="s">
        <v>635</v>
      </c>
      <c r="J70" s="10" t="s">
        <v>636</v>
      </c>
      <c r="K70" s="10" t="s">
        <v>637</v>
      </c>
      <c r="L70" s="10" t="s">
        <v>638</v>
      </c>
      <c r="M70" s="10" t="s">
        <v>639</v>
      </c>
    </row>
    <row r="71" ht="25" customHeight="1" spans="1:13">
      <c r="A71" s="7" t="s">
        <v>53</v>
      </c>
      <c r="B71" s="7" t="s">
        <v>53</v>
      </c>
      <c r="C71" s="10" t="s">
        <v>9</v>
      </c>
      <c r="D71" s="10" t="s">
        <v>14</v>
      </c>
      <c r="E71" s="10" t="s">
        <v>629</v>
      </c>
      <c r="F71" s="10" t="s">
        <v>99</v>
      </c>
      <c r="G71" s="11">
        <v>3</v>
      </c>
      <c r="H71" s="10" t="s">
        <v>640</v>
      </c>
      <c r="I71" s="10" t="s">
        <v>641</v>
      </c>
      <c r="J71" s="10" t="s">
        <v>642</v>
      </c>
      <c r="K71" s="10" t="s">
        <v>643</v>
      </c>
      <c r="L71" s="10" t="s">
        <v>644</v>
      </c>
      <c r="M71" s="10" t="s">
        <v>645</v>
      </c>
    </row>
    <row r="72" ht="25" customHeight="1" spans="1:13">
      <c r="A72" s="7" t="s">
        <v>53</v>
      </c>
      <c r="B72" s="7" t="s">
        <v>53</v>
      </c>
      <c r="C72" s="10" t="s">
        <v>9</v>
      </c>
      <c r="D72" s="10" t="s">
        <v>14</v>
      </c>
      <c r="E72" s="10" t="s">
        <v>629</v>
      </c>
      <c r="F72" s="10" t="s">
        <v>99</v>
      </c>
      <c r="G72" s="11">
        <v>4</v>
      </c>
      <c r="H72" s="10" t="s">
        <v>197</v>
      </c>
      <c r="I72" s="10" t="s">
        <v>646</v>
      </c>
      <c r="J72" s="10" t="s">
        <v>647</v>
      </c>
      <c r="K72" s="10" t="s">
        <v>648</v>
      </c>
      <c r="L72" s="10" t="s">
        <v>649</v>
      </c>
      <c r="M72" s="10" t="s">
        <v>650</v>
      </c>
    </row>
    <row r="73" ht="25" customHeight="1" spans="1:13">
      <c r="A73" s="7" t="s">
        <v>53</v>
      </c>
      <c r="B73" s="7" t="s">
        <v>53</v>
      </c>
      <c r="C73" s="10" t="s">
        <v>9</v>
      </c>
      <c r="D73" s="10" t="s">
        <v>14</v>
      </c>
      <c r="E73" s="10" t="s">
        <v>629</v>
      </c>
      <c r="F73" s="10" t="s">
        <v>99</v>
      </c>
      <c r="G73" s="11">
        <v>5</v>
      </c>
      <c r="H73" s="10" t="s">
        <v>148</v>
      </c>
      <c r="I73" s="10" t="s">
        <v>651</v>
      </c>
      <c r="J73" s="10" t="s">
        <v>652</v>
      </c>
      <c r="K73" s="10" t="s">
        <v>653</v>
      </c>
      <c r="L73" s="10" t="s">
        <v>654</v>
      </c>
      <c r="M73" s="10" t="s">
        <v>655</v>
      </c>
    </row>
    <row r="74" ht="25" customHeight="1" spans="1:13">
      <c r="A74" s="7" t="s">
        <v>53</v>
      </c>
      <c r="B74" s="7" t="s">
        <v>53</v>
      </c>
      <c r="C74" s="10" t="s">
        <v>9</v>
      </c>
      <c r="D74" s="10" t="s">
        <v>14</v>
      </c>
      <c r="E74" s="10" t="s">
        <v>629</v>
      </c>
      <c r="F74" s="10" t="s">
        <v>99</v>
      </c>
      <c r="G74" s="11">
        <v>6</v>
      </c>
      <c r="H74" s="10" t="s">
        <v>618</v>
      </c>
      <c r="I74" s="10" t="s">
        <v>656</v>
      </c>
      <c r="J74" s="10" t="s">
        <v>657</v>
      </c>
      <c r="K74" s="10" t="s">
        <v>658</v>
      </c>
      <c r="L74" s="10" t="s">
        <v>659</v>
      </c>
      <c r="M74" s="10" t="s">
        <v>660</v>
      </c>
    </row>
    <row r="75" ht="25" customHeight="1" spans="1:13">
      <c r="A75" s="7" t="s">
        <v>53</v>
      </c>
      <c r="B75" s="7" t="s">
        <v>53</v>
      </c>
      <c r="C75" s="10" t="s">
        <v>9</v>
      </c>
      <c r="D75" s="10" t="s">
        <v>14</v>
      </c>
      <c r="E75" s="10" t="s">
        <v>629</v>
      </c>
      <c r="F75" s="10" t="s">
        <v>99</v>
      </c>
      <c r="G75" s="11">
        <v>7</v>
      </c>
      <c r="H75" s="10" t="s">
        <v>661</v>
      </c>
      <c r="I75" s="10" t="s">
        <v>662</v>
      </c>
      <c r="J75" s="10" t="s">
        <v>663</v>
      </c>
      <c r="K75" s="10" t="s">
        <v>664</v>
      </c>
      <c r="L75" s="10" t="s">
        <v>665</v>
      </c>
      <c r="M75" s="10" t="s">
        <v>666</v>
      </c>
    </row>
    <row r="76" ht="25" customHeight="1" spans="1:13">
      <c r="A76" s="7" t="s">
        <v>53</v>
      </c>
      <c r="B76" s="7" t="s">
        <v>53</v>
      </c>
      <c r="C76" s="10" t="s">
        <v>9</v>
      </c>
      <c r="D76" s="10" t="s">
        <v>14</v>
      </c>
      <c r="E76" s="10" t="s">
        <v>629</v>
      </c>
      <c r="F76" s="10" t="s">
        <v>99</v>
      </c>
      <c r="G76" s="11">
        <v>8</v>
      </c>
      <c r="H76" s="10" t="s">
        <v>148</v>
      </c>
      <c r="I76" s="10" t="s">
        <v>624</v>
      </c>
      <c r="J76" s="10" t="s">
        <v>667</v>
      </c>
      <c r="K76" s="10" t="s">
        <v>626</v>
      </c>
      <c r="L76" s="10" t="s">
        <v>627</v>
      </c>
      <c r="M76" s="10" t="s">
        <v>668</v>
      </c>
    </row>
    <row r="77" ht="25" customHeight="1" spans="1:13">
      <c r="A77" s="7" t="s">
        <v>53</v>
      </c>
      <c r="B77" s="7" t="s">
        <v>53</v>
      </c>
      <c r="C77" s="10" t="s">
        <v>9</v>
      </c>
      <c r="D77" s="10" t="s">
        <v>14</v>
      </c>
      <c r="E77" s="10" t="s">
        <v>140</v>
      </c>
      <c r="F77" s="10" t="s">
        <v>99</v>
      </c>
      <c r="G77" s="11">
        <v>1</v>
      </c>
      <c r="H77" s="10" t="s">
        <v>669</v>
      </c>
      <c r="I77" s="10" t="s">
        <v>670</v>
      </c>
      <c r="J77" s="10" t="s">
        <v>671</v>
      </c>
      <c r="K77" s="10" t="s">
        <v>672</v>
      </c>
      <c r="L77" s="10" t="s">
        <v>673</v>
      </c>
      <c r="M77" s="10" t="s">
        <v>674</v>
      </c>
    </row>
    <row r="78" ht="25" customHeight="1" spans="1:13">
      <c r="A78" s="7" t="s">
        <v>53</v>
      </c>
      <c r="B78" s="7" t="s">
        <v>53</v>
      </c>
      <c r="C78" s="10" t="s">
        <v>9</v>
      </c>
      <c r="D78" s="10" t="s">
        <v>14</v>
      </c>
      <c r="E78" s="10" t="s">
        <v>140</v>
      </c>
      <c r="F78" s="10" t="s">
        <v>99</v>
      </c>
      <c r="G78" s="11">
        <v>2</v>
      </c>
      <c r="H78" s="10" t="s">
        <v>197</v>
      </c>
      <c r="I78" s="10" t="s">
        <v>675</v>
      </c>
      <c r="J78" s="10" t="s">
        <v>676</v>
      </c>
      <c r="K78" s="10" t="s">
        <v>677</v>
      </c>
      <c r="L78" s="10" t="s">
        <v>678</v>
      </c>
      <c r="M78" s="10" t="s">
        <v>679</v>
      </c>
    </row>
    <row r="79" ht="25" customHeight="1" spans="1:13">
      <c r="A79" s="7" t="s">
        <v>53</v>
      </c>
      <c r="B79" s="7" t="s">
        <v>53</v>
      </c>
      <c r="C79" s="10" t="s">
        <v>9</v>
      </c>
      <c r="D79" s="10" t="s">
        <v>14</v>
      </c>
      <c r="E79" s="10" t="s">
        <v>140</v>
      </c>
      <c r="F79" s="10" t="s">
        <v>99</v>
      </c>
      <c r="G79" s="11">
        <v>3</v>
      </c>
      <c r="H79" s="10" t="s">
        <v>156</v>
      </c>
      <c r="I79" s="10" t="s">
        <v>680</v>
      </c>
      <c r="J79" s="10" t="s">
        <v>681</v>
      </c>
      <c r="K79" s="10" t="s">
        <v>682</v>
      </c>
      <c r="L79" s="10" t="s">
        <v>683</v>
      </c>
      <c r="M79" s="10" t="s">
        <v>684</v>
      </c>
    </row>
    <row r="80" ht="25" customHeight="1" spans="1:13">
      <c r="A80" s="7" t="s">
        <v>53</v>
      </c>
      <c r="B80" s="7" t="s">
        <v>53</v>
      </c>
      <c r="C80" s="10" t="s">
        <v>9</v>
      </c>
      <c r="D80" s="10" t="s">
        <v>14</v>
      </c>
      <c r="E80" s="10" t="s">
        <v>140</v>
      </c>
      <c r="F80" s="10" t="s">
        <v>99</v>
      </c>
      <c r="G80" s="11">
        <v>4</v>
      </c>
      <c r="H80" s="10" t="s">
        <v>76</v>
      </c>
      <c r="I80" s="10" t="s">
        <v>685</v>
      </c>
      <c r="J80" s="10" t="s">
        <v>686</v>
      </c>
      <c r="K80" s="10" t="s">
        <v>687</v>
      </c>
      <c r="L80" s="10" t="s">
        <v>688</v>
      </c>
      <c r="M80" s="10" t="s">
        <v>689</v>
      </c>
    </row>
    <row r="81" ht="25" customHeight="1" spans="1:13">
      <c r="A81" s="7" t="s">
        <v>53</v>
      </c>
      <c r="B81" s="7" t="s">
        <v>53</v>
      </c>
      <c r="C81" s="10" t="s">
        <v>9</v>
      </c>
      <c r="D81" s="10" t="s">
        <v>14</v>
      </c>
      <c r="E81" s="10" t="s">
        <v>140</v>
      </c>
      <c r="F81" s="10" t="s">
        <v>99</v>
      </c>
      <c r="G81" s="11">
        <v>5</v>
      </c>
      <c r="H81" s="10" t="s">
        <v>690</v>
      </c>
      <c r="I81" s="10" t="s">
        <v>691</v>
      </c>
      <c r="J81" s="10" t="s">
        <v>692</v>
      </c>
      <c r="K81" s="10" t="s">
        <v>693</v>
      </c>
      <c r="L81" s="10" t="s">
        <v>694</v>
      </c>
      <c r="M81" s="10" t="s">
        <v>695</v>
      </c>
    </row>
    <row r="82" ht="25" customHeight="1" spans="1:13">
      <c r="A82" s="7" t="s">
        <v>53</v>
      </c>
      <c r="B82" s="7" t="s">
        <v>53</v>
      </c>
      <c r="C82" s="10" t="s">
        <v>9</v>
      </c>
      <c r="D82" s="10" t="s">
        <v>14</v>
      </c>
      <c r="E82" s="10" t="s">
        <v>140</v>
      </c>
      <c r="F82" s="10" t="s">
        <v>99</v>
      </c>
      <c r="G82" s="11">
        <v>6</v>
      </c>
      <c r="H82" s="10" t="s">
        <v>690</v>
      </c>
      <c r="I82" s="10" t="s">
        <v>696</v>
      </c>
      <c r="J82" s="10" t="s">
        <v>697</v>
      </c>
      <c r="K82" s="10" t="s">
        <v>698</v>
      </c>
      <c r="L82" s="10" t="s">
        <v>699</v>
      </c>
      <c r="M82" s="10" t="s">
        <v>700</v>
      </c>
    </row>
    <row r="83" ht="25" customHeight="1" spans="1:13">
      <c r="A83" s="7" t="s">
        <v>53</v>
      </c>
      <c r="B83" s="7" t="s">
        <v>53</v>
      </c>
      <c r="C83" s="10" t="s">
        <v>9</v>
      </c>
      <c r="D83" s="10" t="s">
        <v>14</v>
      </c>
      <c r="E83" s="10" t="s">
        <v>140</v>
      </c>
      <c r="F83" s="10" t="s">
        <v>99</v>
      </c>
      <c r="G83" s="11">
        <v>7</v>
      </c>
      <c r="H83" s="10" t="s">
        <v>141</v>
      </c>
      <c r="I83" s="10" t="s">
        <v>142</v>
      </c>
      <c r="J83" s="10" t="s">
        <v>143</v>
      </c>
      <c r="K83" s="10" t="s">
        <v>137</v>
      </c>
      <c r="L83" s="10" t="s">
        <v>138</v>
      </c>
      <c r="M83" s="10" t="s">
        <v>139</v>
      </c>
    </row>
    <row r="84" ht="25" customHeight="1" spans="1:13">
      <c r="A84" s="7" t="s">
        <v>53</v>
      </c>
      <c r="B84" s="7" t="s">
        <v>53</v>
      </c>
      <c r="C84" s="10" t="s">
        <v>9</v>
      </c>
      <c r="D84" s="10" t="s">
        <v>14</v>
      </c>
      <c r="E84" s="10" t="s">
        <v>140</v>
      </c>
      <c r="F84" s="10" t="s">
        <v>99</v>
      </c>
      <c r="G84" s="11">
        <v>8</v>
      </c>
      <c r="H84" s="10" t="s">
        <v>197</v>
      </c>
      <c r="I84" s="10" t="s">
        <v>701</v>
      </c>
      <c r="J84" s="10" t="s">
        <v>702</v>
      </c>
      <c r="K84" s="10" t="s">
        <v>703</v>
      </c>
      <c r="L84" s="10" t="s">
        <v>704</v>
      </c>
      <c r="M84" s="10" t="s">
        <v>705</v>
      </c>
    </row>
    <row r="85" ht="25" customHeight="1" spans="1:13">
      <c r="A85" s="7" t="s">
        <v>53</v>
      </c>
      <c r="B85" s="7" t="s">
        <v>53</v>
      </c>
      <c r="C85" s="10" t="s">
        <v>9</v>
      </c>
      <c r="D85" s="10" t="s">
        <v>14</v>
      </c>
      <c r="E85" s="10" t="s">
        <v>706</v>
      </c>
      <c r="F85" s="10" t="s">
        <v>99</v>
      </c>
      <c r="G85" s="11">
        <v>1</v>
      </c>
      <c r="H85" s="10" t="s">
        <v>184</v>
      </c>
      <c r="I85" s="10" t="s">
        <v>707</v>
      </c>
      <c r="J85" s="10" t="s">
        <v>708</v>
      </c>
      <c r="K85" s="10" t="s">
        <v>709</v>
      </c>
      <c r="L85" s="10" t="s">
        <v>710</v>
      </c>
      <c r="M85" s="10" t="s">
        <v>711</v>
      </c>
    </row>
    <row r="86" ht="25" customHeight="1" spans="1:13">
      <c r="A86" s="7" t="s">
        <v>53</v>
      </c>
      <c r="B86" s="7" t="s">
        <v>53</v>
      </c>
      <c r="C86" s="10" t="s">
        <v>9</v>
      </c>
      <c r="D86" s="10" t="s">
        <v>14</v>
      </c>
      <c r="E86" s="10" t="s">
        <v>706</v>
      </c>
      <c r="F86" s="10" t="s">
        <v>99</v>
      </c>
      <c r="G86" s="11">
        <v>2</v>
      </c>
      <c r="H86" s="10" t="s">
        <v>197</v>
      </c>
      <c r="I86" s="10" t="s">
        <v>712</v>
      </c>
      <c r="J86" s="10" t="s">
        <v>713</v>
      </c>
      <c r="K86" s="10" t="s">
        <v>714</v>
      </c>
      <c r="L86" s="10" t="s">
        <v>715</v>
      </c>
      <c r="M86" s="10" t="s">
        <v>716</v>
      </c>
    </row>
    <row r="87" ht="25" customHeight="1" spans="1:13">
      <c r="A87" s="7" t="s">
        <v>53</v>
      </c>
      <c r="B87" s="7" t="s">
        <v>53</v>
      </c>
      <c r="C87" s="10" t="s">
        <v>9</v>
      </c>
      <c r="D87" s="10" t="s">
        <v>14</v>
      </c>
      <c r="E87" s="10" t="s">
        <v>706</v>
      </c>
      <c r="F87" s="10" t="s">
        <v>99</v>
      </c>
      <c r="G87" s="11">
        <v>3</v>
      </c>
      <c r="H87" s="10" t="s">
        <v>197</v>
      </c>
      <c r="I87" s="10" t="s">
        <v>717</v>
      </c>
      <c r="J87" s="10" t="s">
        <v>718</v>
      </c>
      <c r="K87" s="10" t="s">
        <v>719</v>
      </c>
      <c r="L87" s="10" t="s">
        <v>720</v>
      </c>
      <c r="M87" s="10" t="s">
        <v>721</v>
      </c>
    </row>
    <row r="88" ht="25" customHeight="1" spans="1:13">
      <c r="A88" s="7" t="s">
        <v>53</v>
      </c>
      <c r="B88" s="7" t="s">
        <v>53</v>
      </c>
      <c r="C88" s="10" t="s">
        <v>9</v>
      </c>
      <c r="D88" s="10" t="s">
        <v>14</v>
      </c>
      <c r="E88" s="10" t="s">
        <v>706</v>
      </c>
      <c r="F88" s="10" t="s">
        <v>99</v>
      </c>
      <c r="G88" s="11">
        <v>4</v>
      </c>
      <c r="H88" s="10" t="s">
        <v>596</v>
      </c>
      <c r="I88" s="10" t="s">
        <v>722</v>
      </c>
      <c r="J88" s="10" t="s">
        <v>723</v>
      </c>
      <c r="K88" s="10" t="s">
        <v>724</v>
      </c>
      <c r="L88" s="10" t="s">
        <v>725</v>
      </c>
      <c r="M88" s="10" t="s">
        <v>726</v>
      </c>
    </row>
    <row r="89" ht="25" customHeight="1" spans="1:13">
      <c r="A89" s="7" t="s">
        <v>53</v>
      </c>
      <c r="B89" s="7" t="s">
        <v>53</v>
      </c>
      <c r="C89" s="10" t="s">
        <v>9</v>
      </c>
      <c r="D89" s="10" t="s">
        <v>14</v>
      </c>
      <c r="E89" s="10" t="s">
        <v>706</v>
      </c>
      <c r="F89" s="10" t="s">
        <v>99</v>
      </c>
      <c r="G89" s="11">
        <v>5</v>
      </c>
      <c r="H89" s="10" t="s">
        <v>156</v>
      </c>
      <c r="I89" s="10" t="s">
        <v>727</v>
      </c>
      <c r="J89" s="10" t="s">
        <v>728</v>
      </c>
      <c r="K89" s="10" t="s">
        <v>729</v>
      </c>
      <c r="L89" s="10" t="s">
        <v>730</v>
      </c>
      <c r="M89" s="10" t="s">
        <v>731</v>
      </c>
    </row>
    <row r="90" ht="25" customHeight="1" spans="1:13">
      <c r="A90" s="7" t="s">
        <v>53</v>
      </c>
      <c r="B90" s="7" t="s">
        <v>53</v>
      </c>
      <c r="C90" s="10" t="s">
        <v>9</v>
      </c>
      <c r="D90" s="10" t="s">
        <v>14</v>
      </c>
      <c r="E90" s="10" t="s">
        <v>706</v>
      </c>
      <c r="F90" s="10" t="s">
        <v>99</v>
      </c>
      <c r="G90" s="11">
        <v>6</v>
      </c>
      <c r="H90" s="10" t="s">
        <v>148</v>
      </c>
      <c r="I90" s="10" t="s">
        <v>732</v>
      </c>
      <c r="J90" s="10" t="s">
        <v>733</v>
      </c>
      <c r="K90" s="10" t="s">
        <v>734</v>
      </c>
      <c r="L90" s="10" t="s">
        <v>735</v>
      </c>
      <c r="M90" s="10" t="s">
        <v>736</v>
      </c>
    </row>
    <row r="91" ht="25" customHeight="1" spans="1:13">
      <c r="A91" s="7" t="s">
        <v>53</v>
      </c>
      <c r="B91" s="7" t="s">
        <v>53</v>
      </c>
      <c r="C91" s="10" t="s">
        <v>9</v>
      </c>
      <c r="D91" s="10" t="s">
        <v>14</v>
      </c>
      <c r="E91" s="10" t="s">
        <v>706</v>
      </c>
      <c r="F91" s="10" t="s">
        <v>99</v>
      </c>
      <c r="G91" s="11">
        <v>7</v>
      </c>
      <c r="H91" s="10" t="s">
        <v>569</v>
      </c>
      <c r="I91" s="10" t="s">
        <v>570</v>
      </c>
      <c r="J91" s="10" t="s">
        <v>737</v>
      </c>
      <c r="K91" s="10" t="s">
        <v>738</v>
      </c>
      <c r="L91" s="10" t="s">
        <v>739</v>
      </c>
      <c r="M91" s="10" t="s">
        <v>740</v>
      </c>
    </row>
    <row r="92" ht="25" customHeight="1" spans="1:13">
      <c r="A92" s="7" t="s">
        <v>53</v>
      </c>
      <c r="B92" s="7" t="s">
        <v>53</v>
      </c>
      <c r="C92" s="10" t="s">
        <v>9</v>
      </c>
      <c r="D92" s="10" t="s">
        <v>14</v>
      </c>
      <c r="E92" s="10" t="s">
        <v>706</v>
      </c>
      <c r="F92" s="10" t="s">
        <v>99</v>
      </c>
      <c r="G92" s="11">
        <v>8</v>
      </c>
      <c r="H92" s="10" t="s">
        <v>586</v>
      </c>
      <c r="I92" s="10" t="s">
        <v>741</v>
      </c>
      <c r="J92" s="10" t="s">
        <v>742</v>
      </c>
      <c r="K92" s="10" t="s">
        <v>743</v>
      </c>
      <c r="L92" s="10" t="s">
        <v>744</v>
      </c>
      <c r="M92" s="10" t="s">
        <v>745</v>
      </c>
    </row>
    <row r="93" ht="25" customHeight="1" spans="1:13">
      <c r="A93" s="7" t="s">
        <v>53</v>
      </c>
      <c r="B93" s="7" t="s">
        <v>53</v>
      </c>
      <c r="C93" s="10" t="s">
        <v>9</v>
      </c>
      <c r="D93" s="10" t="s">
        <v>14</v>
      </c>
      <c r="E93" s="10" t="s">
        <v>162</v>
      </c>
      <c r="F93" s="10" t="s">
        <v>163</v>
      </c>
      <c r="G93" s="11">
        <v>1</v>
      </c>
      <c r="H93" s="10" t="s">
        <v>618</v>
      </c>
      <c r="I93" s="10" t="s">
        <v>746</v>
      </c>
      <c r="J93" s="10" t="s">
        <v>747</v>
      </c>
      <c r="K93" s="10" t="s">
        <v>748</v>
      </c>
      <c r="L93" s="10" t="s">
        <v>749</v>
      </c>
      <c r="M93" s="10" t="s">
        <v>750</v>
      </c>
    </row>
    <row r="94" ht="25" customHeight="1" spans="1:13">
      <c r="A94" s="7" t="s">
        <v>53</v>
      </c>
      <c r="B94" s="7" t="s">
        <v>53</v>
      </c>
      <c r="C94" s="10" t="s">
        <v>9</v>
      </c>
      <c r="D94" s="10" t="s">
        <v>14</v>
      </c>
      <c r="E94" s="10" t="s">
        <v>162</v>
      </c>
      <c r="F94" s="10" t="s">
        <v>163</v>
      </c>
      <c r="G94" s="11">
        <v>2</v>
      </c>
      <c r="H94" s="10" t="s">
        <v>751</v>
      </c>
      <c r="I94" s="10" t="s">
        <v>752</v>
      </c>
      <c r="J94" s="10" t="s">
        <v>753</v>
      </c>
      <c r="K94" s="10" t="s">
        <v>754</v>
      </c>
      <c r="L94" s="10" t="s">
        <v>755</v>
      </c>
      <c r="M94" s="10" t="s">
        <v>756</v>
      </c>
    </row>
    <row r="95" ht="25" customHeight="1" spans="1:13">
      <c r="A95" s="7" t="s">
        <v>53</v>
      </c>
      <c r="B95" s="7" t="s">
        <v>53</v>
      </c>
      <c r="C95" s="10" t="s">
        <v>9</v>
      </c>
      <c r="D95" s="10" t="s">
        <v>14</v>
      </c>
      <c r="E95" s="10" t="s">
        <v>162</v>
      </c>
      <c r="F95" s="10" t="s">
        <v>163</v>
      </c>
      <c r="G95" s="11">
        <v>3</v>
      </c>
      <c r="H95" s="10" t="s">
        <v>164</v>
      </c>
      <c r="I95" s="10" t="s">
        <v>165</v>
      </c>
      <c r="J95" s="10" t="s">
        <v>166</v>
      </c>
      <c r="K95" s="10" t="s">
        <v>159</v>
      </c>
      <c r="L95" s="10" t="s">
        <v>757</v>
      </c>
      <c r="M95" s="10" t="s">
        <v>161</v>
      </c>
    </row>
    <row r="96" ht="25" customHeight="1" spans="1:13">
      <c r="A96" s="7" t="s">
        <v>53</v>
      </c>
      <c r="B96" s="7" t="s">
        <v>53</v>
      </c>
      <c r="C96" s="10" t="s">
        <v>9</v>
      </c>
      <c r="D96" s="10" t="s">
        <v>14</v>
      </c>
      <c r="E96" s="10" t="s">
        <v>162</v>
      </c>
      <c r="F96" s="10" t="s">
        <v>163</v>
      </c>
      <c r="G96" s="11">
        <v>4</v>
      </c>
      <c r="H96" s="10" t="s">
        <v>758</v>
      </c>
      <c r="I96" s="10" t="s">
        <v>759</v>
      </c>
      <c r="J96" s="10" t="s">
        <v>760</v>
      </c>
      <c r="K96" s="10" t="s">
        <v>761</v>
      </c>
      <c r="L96" s="10" t="s">
        <v>762</v>
      </c>
      <c r="M96" s="10" t="s">
        <v>763</v>
      </c>
    </row>
    <row r="97" ht="25" customHeight="1" spans="1:13">
      <c r="A97" s="7" t="s">
        <v>53</v>
      </c>
      <c r="B97" s="7" t="s">
        <v>53</v>
      </c>
      <c r="C97" s="10" t="s">
        <v>9</v>
      </c>
      <c r="D97" s="10" t="s">
        <v>14</v>
      </c>
      <c r="E97" s="10" t="s">
        <v>162</v>
      </c>
      <c r="F97" s="10" t="s">
        <v>163</v>
      </c>
      <c r="G97" s="11">
        <v>5</v>
      </c>
      <c r="H97" s="10" t="s">
        <v>764</v>
      </c>
      <c r="I97" s="10" t="s">
        <v>765</v>
      </c>
      <c r="J97" s="10" t="s">
        <v>766</v>
      </c>
      <c r="K97" s="10" t="s">
        <v>767</v>
      </c>
      <c r="L97" s="10" t="s">
        <v>768</v>
      </c>
      <c r="M97" s="10" t="s">
        <v>769</v>
      </c>
    </row>
    <row r="98" ht="25" customHeight="1" spans="1:13">
      <c r="A98" s="7" t="s">
        <v>53</v>
      </c>
      <c r="B98" s="7" t="s">
        <v>53</v>
      </c>
      <c r="C98" s="10" t="s">
        <v>9</v>
      </c>
      <c r="D98" s="10" t="s">
        <v>14</v>
      </c>
      <c r="E98" s="10" t="s">
        <v>162</v>
      </c>
      <c r="F98" s="10" t="s">
        <v>163</v>
      </c>
      <c r="G98" s="11">
        <v>6</v>
      </c>
      <c r="H98" s="10" t="s">
        <v>148</v>
      </c>
      <c r="I98" s="10" t="s">
        <v>770</v>
      </c>
      <c r="J98" s="10" t="s">
        <v>771</v>
      </c>
      <c r="K98" s="10" t="s">
        <v>772</v>
      </c>
      <c r="L98" s="10" t="s">
        <v>773</v>
      </c>
      <c r="M98" s="10" t="s">
        <v>774</v>
      </c>
    </row>
    <row r="99" ht="25" customHeight="1" spans="1:13">
      <c r="A99" s="7" t="s">
        <v>53</v>
      </c>
      <c r="B99" s="7" t="s">
        <v>53</v>
      </c>
      <c r="C99" s="10" t="s">
        <v>9</v>
      </c>
      <c r="D99" s="10" t="s">
        <v>14</v>
      </c>
      <c r="E99" s="10" t="s">
        <v>162</v>
      </c>
      <c r="F99" s="10" t="s">
        <v>163</v>
      </c>
      <c r="G99" s="11">
        <v>7</v>
      </c>
      <c r="H99" s="10" t="s">
        <v>156</v>
      </c>
      <c r="I99" s="10" t="s">
        <v>775</v>
      </c>
      <c r="J99" s="10" t="s">
        <v>776</v>
      </c>
      <c r="K99" s="10" t="s">
        <v>777</v>
      </c>
      <c r="L99" s="10" t="s">
        <v>778</v>
      </c>
      <c r="M99" s="10" t="s">
        <v>779</v>
      </c>
    </row>
    <row r="100" ht="25" customHeight="1" spans="1:13">
      <c r="A100" s="7" t="s">
        <v>53</v>
      </c>
      <c r="B100" s="7" t="s">
        <v>53</v>
      </c>
      <c r="C100" s="10" t="s">
        <v>9</v>
      </c>
      <c r="D100" s="10" t="s">
        <v>14</v>
      </c>
      <c r="E100" s="10" t="s">
        <v>162</v>
      </c>
      <c r="F100" s="10" t="s">
        <v>163</v>
      </c>
      <c r="G100" s="11">
        <v>8</v>
      </c>
      <c r="H100" s="10" t="s">
        <v>172</v>
      </c>
      <c r="I100" s="10" t="s">
        <v>780</v>
      </c>
      <c r="J100" s="10" t="s">
        <v>781</v>
      </c>
      <c r="K100" s="10" t="s">
        <v>782</v>
      </c>
      <c r="L100" s="10" t="s">
        <v>783</v>
      </c>
      <c r="M100" s="10" t="s">
        <v>784</v>
      </c>
    </row>
    <row r="101" ht="25" customHeight="1" spans="1:13">
      <c r="A101" s="7" t="s">
        <v>53</v>
      </c>
      <c r="B101" s="7" t="s">
        <v>53</v>
      </c>
      <c r="C101" s="10" t="s">
        <v>9</v>
      </c>
      <c r="D101" s="10" t="s">
        <v>14</v>
      </c>
      <c r="E101" s="10" t="s">
        <v>785</v>
      </c>
      <c r="F101" s="10" t="s">
        <v>163</v>
      </c>
      <c r="G101" s="11">
        <v>1</v>
      </c>
      <c r="H101" s="10" t="s">
        <v>156</v>
      </c>
      <c r="I101" s="10" t="s">
        <v>786</v>
      </c>
      <c r="J101" s="10" t="s">
        <v>787</v>
      </c>
      <c r="K101" s="10" t="s">
        <v>788</v>
      </c>
      <c r="L101" s="10" t="s">
        <v>789</v>
      </c>
      <c r="M101" s="10" t="s">
        <v>790</v>
      </c>
    </row>
    <row r="102" ht="25" customHeight="1" spans="1:13">
      <c r="A102" s="7" t="s">
        <v>53</v>
      </c>
      <c r="B102" s="7" t="s">
        <v>53</v>
      </c>
      <c r="C102" s="10" t="s">
        <v>9</v>
      </c>
      <c r="D102" s="10" t="s">
        <v>14</v>
      </c>
      <c r="E102" s="10" t="s">
        <v>785</v>
      </c>
      <c r="F102" s="10" t="s">
        <v>163</v>
      </c>
      <c r="G102" s="11">
        <v>2</v>
      </c>
      <c r="H102" s="10" t="s">
        <v>596</v>
      </c>
      <c r="I102" s="10" t="s">
        <v>597</v>
      </c>
      <c r="J102" s="10" t="s">
        <v>791</v>
      </c>
      <c r="K102" s="10" t="s">
        <v>792</v>
      </c>
      <c r="L102" s="10" t="s">
        <v>793</v>
      </c>
      <c r="M102" s="10" t="s">
        <v>794</v>
      </c>
    </row>
    <row r="103" ht="25" customHeight="1" spans="1:13">
      <c r="A103" s="7" t="s">
        <v>53</v>
      </c>
      <c r="B103" s="7" t="s">
        <v>53</v>
      </c>
      <c r="C103" s="10" t="s">
        <v>9</v>
      </c>
      <c r="D103" s="10" t="s">
        <v>14</v>
      </c>
      <c r="E103" s="10" t="s">
        <v>785</v>
      </c>
      <c r="F103" s="10" t="s">
        <v>163</v>
      </c>
      <c r="G103" s="11">
        <v>3</v>
      </c>
      <c r="H103" s="10" t="s">
        <v>148</v>
      </c>
      <c r="I103" s="10" t="s">
        <v>696</v>
      </c>
      <c r="J103" s="10" t="s">
        <v>795</v>
      </c>
      <c r="K103" s="10" t="s">
        <v>796</v>
      </c>
      <c r="L103" s="10" t="s">
        <v>797</v>
      </c>
      <c r="M103" s="10" t="s">
        <v>798</v>
      </c>
    </row>
    <row r="104" ht="25" customHeight="1" spans="1:13">
      <c r="A104" s="7" t="s">
        <v>53</v>
      </c>
      <c r="B104" s="7" t="s">
        <v>53</v>
      </c>
      <c r="C104" s="10" t="s">
        <v>9</v>
      </c>
      <c r="D104" s="10" t="s">
        <v>14</v>
      </c>
      <c r="E104" s="10" t="s">
        <v>785</v>
      </c>
      <c r="F104" s="10" t="s">
        <v>163</v>
      </c>
      <c r="G104" s="11">
        <v>4</v>
      </c>
      <c r="H104" s="10" t="s">
        <v>586</v>
      </c>
      <c r="I104" s="10" t="s">
        <v>403</v>
      </c>
      <c r="J104" s="10" t="s">
        <v>799</v>
      </c>
      <c r="K104" s="10" t="s">
        <v>800</v>
      </c>
      <c r="L104" s="10" t="s">
        <v>801</v>
      </c>
      <c r="M104" s="10" t="s">
        <v>802</v>
      </c>
    </row>
    <row r="105" ht="25" customHeight="1" spans="1:13">
      <c r="A105" s="7" t="s">
        <v>53</v>
      </c>
      <c r="B105" s="7" t="s">
        <v>53</v>
      </c>
      <c r="C105" s="10" t="s">
        <v>9</v>
      </c>
      <c r="D105" s="10" t="s">
        <v>14</v>
      </c>
      <c r="E105" s="10" t="s">
        <v>785</v>
      </c>
      <c r="F105" s="10" t="s">
        <v>163</v>
      </c>
      <c r="G105" s="11">
        <v>5</v>
      </c>
      <c r="H105" s="10" t="s">
        <v>596</v>
      </c>
      <c r="I105" s="10" t="s">
        <v>803</v>
      </c>
      <c r="J105" s="10" t="s">
        <v>804</v>
      </c>
      <c r="K105" s="10" t="s">
        <v>805</v>
      </c>
      <c r="L105" s="10" t="s">
        <v>806</v>
      </c>
      <c r="M105" s="10" t="s">
        <v>807</v>
      </c>
    </row>
    <row r="106" ht="25" customHeight="1" spans="1:13">
      <c r="A106" s="7" t="s">
        <v>53</v>
      </c>
      <c r="B106" s="7" t="s">
        <v>53</v>
      </c>
      <c r="C106" s="10" t="s">
        <v>9</v>
      </c>
      <c r="D106" s="10" t="s">
        <v>14</v>
      </c>
      <c r="E106" s="10" t="s">
        <v>785</v>
      </c>
      <c r="F106" s="10" t="s">
        <v>163</v>
      </c>
      <c r="G106" s="11">
        <v>6</v>
      </c>
      <c r="H106" s="10" t="s">
        <v>569</v>
      </c>
      <c r="I106" s="10" t="s">
        <v>808</v>
      </c>
      <c r="J106" s="10" t="s">
        <v>809</v>
      </c>
      <c r="K106" s="10" t="s">
        <v>810</v>
      </c>
      <c r="L106" s="10" t="s">
        <v>811</v>
      </c>
      <c r="M106" s="10" t="s">
        <v>812</v>
      </c>
    </row>
    <row r="107" ht="25" customHeight="1" spans="1:13">
      <c r="A107" s="7" t="s">
        <v>53</v>
      </c>
      <c r="B107" s="7" t="s">
        <v>53</v>
      </c>
      <c r="C107" s="10" t="s">
        <v>9</v>
      </c>
      <c r="D107" s="10" t="s">
        <v>14</v>
      </c>
      <c r="E107" s="10" t="s">
        <v>785</v>
      </c>
      <c r="F107" s="10" t="s">
        <v>163</v>
      </c>
      <c r="G107" s="11">
        <v>7</v>
      </c>
      <c r="H107" s="10" t="s">
        <v>813</v>
      </c>
      <c r="I107" s="10" t="s">
        <v>814</v>
      </c>
      <c r="J107" s="10" t="s">
        <v>815</v>
      </c>
      <c r="K107" s="10" t="s">
        <v>816</v>
      </c>
      <c r="L107" s="10" t="s">
        <v>817</v>
      </c>
      <c r="M107" s="10" t="s">
        <v>818</v>
      </c>
    </row>
    <row r="108" ht="25" customHeight="1" spans="1:13">
      <c r="A108" s="7" t="s">
        <v>53</v>
      </c>
      <c r="B108" s="7" t="s">
        <v>53</v>
      </c>
      <c r="C108" s="10" t="s">
        <v>9</v>
      </c>
      <c r="D108" s="10" t="s">
        <v>14</v>
      </c>
      <c r="E108" s="10" t="s">
        <v>785</v>
      </c>
      <c r="F108" s="10" t="s">
        <v>163</v>
      </c>
      <c r="G108" s="11">
        <v>8</v>
      </c>
      <c r="H108" s="10" t="s">
        <v>819</v>
      </c>
      <c r="I108" s="10" t="s">
        <v>820</v>
      </c>
      <c r="J108" s="10" t="s">
        <v>821</v>
      </c>
      <c r="K108" s="10" t="s">
        <v>822</v>
      </c>
      <c r="L108" s="10" t="s">
        <v>823</v>
      </c>
      <c r="M108" s="10" t="s">
        <v>824</v>
      </c>
    </row>
    <row r="109" ht="25" customHeight="1" spans="1:13">
      <c r="A109" s="7" t="s">
        <v>53</v>
      </c>
      <c r="B109" s="7" t="s">
        <v>53</v>
      </c>
      <c r="C109" s="10" t="s">
        <v>9</v>
      </c>
      <c r="D109" s="10" t="s">
        <v>14</v>
      </c>
      <c r="E109" s="10" t="s">
        <v>825</v>
      </c>
      <c r="F109" s="10" t="s">
        <v>75</v>
      </c>
      <c r="G109" s="11">
        <v>1</v>
      </c>
      <c r="H109" s="10" t="s">
        <v>156</v>
      </c>
      <c r="I109" s="10" t="s">
        <v>619</v>
      </c>
      <c r="J109" s="10" t="s">
        <v>826</v>
      </c>
      <c r="K109" s="10" t="s">
        <v>827</v>
      </c>
      <c r="L109" s="10" t="s">
        <v>828</v>
      </c>
      <c r="M109" s="10" t="s">
        <v>829</v>
      </c>
    </row>
    <row r="110" ht="25" customHeight="1" spans="1:13">
      <c r="A110" s="7" t="s">
        <v>53</v>
      </c>
      <c r="B110" s="7" t="s">
        <v>53</v>
      </c>
      <c r="C110" s="10" t="s">
        <v>9</v>
      </c>
      <c r="D110" s="10" t="s">
        <v>14</v>
      </c>
      <c r="E110" s="10" t="s">
        <v>825</v>
      </c>
      <c r="F110" s="10" t="s">
        <v>75</v>
      </c>
      <c r="G110" s="11">
        <v>2</v>
      </c>
      <c r="H110" s="10" t="s">
        <v>156</v>
      </c>
      <c r="I110" s="10" t="s">
        <v>830</v>
      </c>
      <c r="J110" s="10" t="s">
        <v>831</v>
      </c>
      <c r="K110" s="10" t="s">
        <v>832</v>
      </c>
      <c r="L110" s="10" t="s">
        <v>833</v>
      </c>
      <c r="M110" s="10" t="s">
        <v>834</v>
      </c>
    </row>
    <row r="111" ht="25" customHeight="1" spans="1:13">
      <c r="A111" s="7" t="s">
        <v>53</v>
      </c>
      <c r="B111" s="7" t="s">
        <v>53</v>
      </c>
      <c r="C111" s="10" t="s">
        <v>9</v>
      </c>
      <c r="D111" s="10" t="s">
        <v>14</v>
      </c>
      <c r="E111" s="10" t="s">
        <v>825</v>
      </c>
      <c r="F111" s="10" t="s">
        <v>75</v>
      </c>
      <c r="G111" s="11">
        <v>3</v>
      </c>
      <c r="H111" s="10" t="s">
        <v>172</v>
      </c>
      <c r="I111" s="10" t="s">
        <v>835</v>
      </c>
      <c r="J111" s="10" t="s">
        <v>836</v>
      </c>
      <c r="K111" s="10" t="s">
        <v>837</v>
      </c>
      <c r="L111" s="10" t="s">
        <v>838</v>
      </c>
      <c r="M111" s="10" t="s">
        <v>839</v>
      </c>
    </row>
    <row r="112" ht="25" customHeight="1" spans="1:13">
      <c r="A112" s="7" t="s">
        <v>53</v>
      </c>
      <c r="B112" s="7" t="s">
        <v>53</v>
      </c>
      <c r="C112" s="10" t="s">
        <v>9</v>
      </c>
      <c r="D112" s="10" t="s">
        <v>14</v>
      </c>
      <c r="E112" s="10" t="s">
        <v>825</v>
      </c>
      <c r="F112" s="10" t="s">
        <v>75</v>
      </c>
      <c r="G112" s="11">
        <v>4</v>
      </c>
      <c r="H112" s="10" t="s">
        <v>548</v>
      </c>
      <c r="I112" s="10" t="s">
        <v>840</v>
      </c>
      <c r="J112" s="10" t="s">
        <v>841</v>
      </c>
      <c r="K112" s="10" t="s">
        <v>842</v>
      </c>
      <c r="L112" s="10" t="s">
        <v>843</v>
      </c>
      <c r="M112" s="10" t="s">
        <v>844</v>
      </c>
    </row>
    <row r="113" ht="25" customHeight="1" spans="1:13">
      <c r="A113" s="7" t="s">
        <v>53</v>
      </c>
      <c r="B113" s="7" t="s">
        <v>53</v>
      </c>
      <c r="C113" s="10" t="s">
        <v>9</v>
      </c>
      <c r="D113" s="10" t="s">
        <v>14</v>
      </c>
      <c r="E113" s="10" t="s">
        <v>825</v>
      </c>
      <c r="F113" s="10" t="s">
        <v>75</v>
      </c>
      <c r="G113" s="11">
        <v>5</v>
      </c>
      <c r="H113" s="10" t="s">
        <v>197</v>
      </c>
      <c r="I113" s="10" t="s">
        <v>646</v>
      </c>
      <c r="J113" s="10" t="s">
        <v>845</v>
      </c>
      <c r="K113" s="10" t="s">
        <v>846</v>
      </c>
      <c r="L113" s="10" t="s">
        <v>847</v>
      </c>
      <c r="M113" s="10" t="s">
        <v>848</v>
      </c>
    </row>
    <row r="114" ht="25" customHeight="1" spans="1:13">
      <c r="A114" s="7" t="s">
        <v>53</v>
      </c>
      <c r="B114" s="7" t="s">
        <v>53</v>
      </c>
      <c r="C114" s="10" t="s">
        <v>9</v>
      </c>
      <c r="D114" s="10" t="s">
        <v>14</v>
      </c>
      <c r="E114" s="10" t="s">
        <v>825</v>
      </c>
      <c r="F114" s="10" t="s">
        <v>75</v>
      </c>
      <c r="G114" s="11">
        <v>6</v>
      </c>
      <c r="H114" s="10" t="s">
        <v>156</v>
      </c>
      <c r="I114" s="10" t="s">
        <v>849</v>
      </c>
      <c r="J114" s="10" t="s">
        <v>850</v>
      </c>
      <c r="K114" s="10" t="s">
        <v>851</v>
      </c>
      <c r="L114" s="10" t="s">
        <v>852</v>
      </c>
      <c r="M114" s="10" t="s">
        <v>853</v>
      </c>
    </row>
    <row r="115" ht="25" customHeight="1" spans="1:13">
      <c r="A115" s="7" t="s">
        <v>53</v>
      </c>
      <c r="B115" s="7" t="s">
        <v>53</v>
      </c>
      <c r="C115" s="10" t="s">
        <v>9</v>
      </c>
      <c r="D115" s="10" t="s">
        <v>14</v>
      </c>
      <c r="E115" s="10" t="s">
        <v>825</v>
      </c>
      <c r="F115" s="10" t="s">
        <v>75</v>
      </c>
      <c r="G115" s="11">
        <v>7</v>
      </c>
      <c r="H115" s="10" t="s">
        <v>197</v>
      </c>
      <c r="I115" s="10" t="s">
        <v>854</v>
      </c>
      <c r="J115" s="10" t="s">
        <v>855</v>
      </c>
      <c r="K115" s="10" t="s">
        <v>856</v>
      </c>
      <c r="L115" s="10" t="s">
        <v>857</v>
      </c>
      <c r="M115" s="10" t="s">
        <v>858</v>
      </c>
    </row>
    <row r="116" ht="25" customHeight="1" spans="1:13">
      <c r="A116" s="7" t="s">
        <v>53</v>
      </c>
      <c r="B116" s="7" t="s">
        <v>53</v>
      </c>
      <c r="C116" s="10" t="s">
        <v>9</v>
      </c>
      <c r="D116" s="10" t="s">
        <v>14</v>
      </c>
      <c r="E116" s="10" t="s">
        <v>825</v>
      </c>
      <c r="F116" s="10" t="s">
        <v>75</v>
      </c>
      <c r="G116" s="11">
        <v>8</v>
      </c>
      <c r="H116" s="10" t="s">
        <v>586</v>
      </c>
      <c r="I116" s="10" t="s">
        <v>859</v>
      </c>
      <c r="J116" s="10" t="s">
        <v>860</v>
      </c>
      <c r="K116" s="10" t="s">
        <v>861</v>
      </c>
      <c r="L116" s="10" t="s">
        <v>862</v>
      </c>
      <c r="M116" s="10" t="s">
        <v>863</v>
      </c>
    </row>
    <row r="117" ht="25" customHeight="1" spans="1:13">
      <c r="A117" s="7" t="s">
        <v>53</v>
      </c>
      <c r="B117" s="7" t="s">
        <v>53</v>
      </c>
      <c r="C117" s="10" t="s">
        <v>9</v>
      </c>
      <c r="D117" s="10" t="s">
        <v>14</v>
      </c>
      <c r="E117" s="10" t="s">
        <v>147</v>
      </c>
      <c r="F117" s="10" t="s">
        <v>91</v>
      </c>
      <c r="G117" s="11">
        <v>1</v>
      </c>
      <c r="H117" s="10" t="s">
        <v>148</v>
      </c>
      <c r="I117" s="10" t="s">
        <v>339</v>
      </c>
      <c r="J117" s="10" t="s">
        <v>864</v>
      </c>
      <c r="K117" s="10" t="s">
        <v>865</v>
      </c>
      <c r="L117" s="10" t="s">
        <v>866</v>
      </c>
      <c r="M117" s="10" t="s">
        <v>867</v>
      </c>
    </row>
    <row r="118" ht="25" customHeight="1" spans="1:13">
      <c r="A118" s="7" t="s">
        <v>53</v>
      </c>
      <c r="B118" s="7" t="s">
        <v>53</v>
      </c>
      <c r="C118" s="10" t="s">
        <v>9</v>
      </c>
      <c r="D118" s="10" t="s">
        <v>14</v>
      </c>
      <c r="E118" s="10" t="s">
        <v>147</v>
      </c>
      <c r="F118" s="10" t="s">
        <v>91</v>
      </c>
      <c r="G118" s="11">
        <v>2</v>
      </c>
      <c r="H118" s="10" t="s">
        <v>148</v>
      </c>
      <c r="I118" s="10" t="s">
        <v>149</v>
      </c>
      <c r="J118" s="10" t="s">
        <v>150</v>
      </c>
      <c r="K118" s="10" t="s">
        <v>144</v>
      </c>
      <c r="L118" s="10" t="s">
        <v>868</v>
      </c>
      <c r="M118" s="10" t="s">
        <v>146</v>
      </c>
    </row>
    <row r="119" ht="25" customHeight="1" spans="1:13">
      <c r="A119" s="7" t="s">
        <v>53</v>
      </c>
      <c r="B119" s="7" t="s">
        <v>53</v>
      </c>
      <c r="C119" s="10" t="s">
        <v>9</v>
      </c>
      <c r="D119" s="10" t="s">
        <v>14</v>
      </c>
      <c r="E119" s="10" t="s">
        <v>147</v>
      </c>
      <c r="F119" s="10" t="s">
        <v>91</v>
      </c>
      <c r="G119" s="11">
        <v>3</v>
      </c>
      <c r="H119" s="10" t="s">
        <v>148</v>
      </c>
      <c r="I119" s="10" t="s">
        <v>869</v>
      </c>
      <c r="J119" s="10" t="s">
        <v>870</v>
      </c>
      <c r="K119" s="10" t="s">
        <v>871</v>
      </c>
      <c r="L119" s="10" t="s">
        <v>872</v>
      </c>
      <c r="M119" s="10" t="s">
        <v>873</v>
      </c>
    </row>
    <row r="120" ht="25" customHeight="1" spans="1:13">
      <c r="A120" s="7" t="s">
        <v>53</v>
      </c>
      <c r="B120" s="7" t="s">
        <v>53</v>
      </c>
      <c r="C120" s="10" t="s">
        <v>9</v>
      </c>
      <c r="D120" s="10" t="s">
        <v>14</v>
      </c>
      <c r="E120" s="10" t="s">
        <v>147</v>
      </c>
      <c r="F120" s="10" t="s">
        <v>91</v>
      </c>
      <c r="G120" s="11">
        <v>4</v>
      </c>
      <c r="H120" s="10" t="s">
        <v>148</v>
      </c>
      <c r="I120" s="10" t="s">
        <v>874</v>
      </c>
      <c r="J120" s="10" t="s">
        <v>875</v>
      </c>
      <c r="K120" s="10" t="s">
        <v>876</v>
      </c>
      <c r="L120" s="10" t="s">
        <v>877</v>
      </c>
      <c r="M120" s="10" t="s">
        <v>878</v>
      </c>
    </row>
    <row r="121" ht="25" customHeight="1" spans="1:13">
      <c r="A121" s="7" t="s">
        <v>53</v>
      </c>
      <c r="B121" s="7" t="s">
        <v>53</v>
      </c>
      <c r="C121" s="10" t="s">
        <v>9</v>
      </c>
      <c r="D121" s="10" t="s">
        <v>14</v>
      </c>
      <c r="E121" s="10" t="s">
        <v>147</v>
      </c>
      <c r="F121" s="10" t="s">
        <v>91</v>
      </c>
      <c r="G121" s="11">
        <v>5</v>
      </c>
      <c r="H121" s="10" t="s">
        <v>596</v>
      </c>
      <c r="I121" s="10" t="s">
        <v>879</v>
      </c>
      <c r="J121" s="10" t="s">
        <v>880</v>
      </c>
      <c r="K121" s="10" t="s">
        <v>881</v>
      </c>
      <c r="L121" s="10" t="s">
        <v>882</v>
      </c>
      <c r="M121" s="10" t="s">
        <v>883</v>
      </c>
    </row>
    <row r="122" ht="25" customHeight="1" spans="1:13">
      <c r="A122" s="7" t="s">
        <v>53</v>
      </c>
      <c r="B122" s="7" t="s">
        <v>53</v>
      </c>
      <c r="C122" s="10" t="s">
        <v>9</v>
      </c>
      <c r="D122" s="10" t="s">
        <v>14</v>
      </c>
      <c r="E122" s="10" t="s">
        <v>147</v>
      </c>
      <c r="F122" s="10" t="s">
        <v>91</v>
      </c>
      <c r="G122" s="11">
        <v>6</v>
      </c>
      <c r="H122" s="10" t="s">
        <v>184</v>
      </c>
      <c r="I122" s="10" t="s">
        <v>185</v>
      </c>
      <c r="J122" s="10" t="s">
        <v>186</v>
      </c>
      <c r="K122" s="10" t="s">
        <v>181</v>
      </c>
      <c r="L122" s="10" t="s">
        <v>884</v>
      </c>
      <c r="M122" s="10" t="s">
        <v>183</v>
      </c>
    </row>
    <row r="123" ht="25" customHeight="1" spans="1:13">
      <c r="A123" s="7" t="s">
        <v>53</v>
      </c>
      <c r="B123" s="7" t="s">
        <v>53</v>
      </c>
      <c r="C123" s="10" t="s">
        <v>9</v>
      </c>
      <c r="D123" s="10" t="s">
        <v>14</v>
      </c>
      <c r="E123" s="10" t="s">
        <v>147</v>
      </c>
      <c r="F123" s="10" t="s">
        <v>91</v>
      </c>
      <c r="G123" s="11">
        <v>7</v>
      </c>
      <c r="H123" s="10" t="s">
        <v>148</v>
      </c>
      <c r="I123" s="10" t="s">
        <v>591</v>
      </c>
      <c r="J123" s="10" t="s">
        <v>885</v>
      </c>
      <c r="K123" s="10" t="s">
        <v>886</v>
      </c>
      <c r="L123" s="10" t="s">
        <v>887</v>
      </c>
      <c r="M123" s="10" t="s">
        <v>888</v>
      </c>
    </row>
    <row r="124" ht="25" customHeight="1" spans="1:13">
      <c r="A124" s="7" t="s">
        <v>53</v>
      </c>
      <c r="B124" s="7" t="s">
        <v>53</v>
      </c>
      <c r="C124" s="10" t="s">
        <v>9</v>
      </c>
      <c r="D124" s="10" t="s">
        <v>14</v>
      </c>
      <c r="E124" s="10" t="s">
        <v>147</v>
      </c>
      <c r="F124" s="10" t="s">
        <v>91</v>
      </c>
      <c r="G124" s="11">
        <v>8</v>
      </c>
      <c r="H124" s="10" t="s">
        <v>889</v>
      </c>
      <c r="I124" s="10" t="s">
        <v>890</v>
      </c>
      <c r="J124" s="10" t="s">
        <v>891</v>
      </c>
      <c r="K124" s="10" t="s">
        <v>892</v>
      </c>
      <c r="L124" s="10" t="s">
        <v>893</v>
      </c>
      <c r="M124" s="10" t="s">
        <v>894</v>
      </c>
    </row>
    <row r="125" ht="25" customHeight="1" spans="1:13">
      <c r="A125" s="7" t="s">
        <v>53</v>
      </c>
      <c r="B125" s="7" t="s">
        <v>53</v>
      </c>
      <c r="C125" s="10" t="s">
        <v>9</v>
      </c>
      <c r="D125" s="10" t="s">
        <v>14</v>
      </c>
      <c r="E125" s="10" t="s">
        <v>895</v>
      </c>
      <c r="F125" s="10" t="s">
        <v>171</v>
      </c>
      <c r="G125" s="11">
        <v>1</v>
      </c>
      <c r="H125" s="10" t="s">
        <v>618</v>
      </c>
      <c r="I125" s="10" t="s">
        <v>746</v>
      </c>
      <c r="J125" s="10" t="s">
        <v>896</v>
      </c>
      <c r="K125" s="10" t="s">
        <v>748</v>
      </c>
      <c r="L125" s="10" t="s">
        <v>749</v>
      </c>
      <c r="M125" s="10" t="s">
        <v>897</v>
      </c>
    </row>
    <row r="126" ht="25" customHeight="1" spans="1:13">
      <c r="A126" s="7" t="s">
        <v>53</v>
      </c>
      <c r="B126" s="7" t="s">
        <v>53</v>
      </c>
      <c r="C126" s="10" t="s">
        <v>9</v>
      </c>
      <c r="D126" s="10" t="s">
        <v>14</v>
      </c>
      <c r="E126" s="10" t="s">
        <v>895</v>
      </c>
      <c r="F126" s="10" t="s">
        <v>171</v>
      </c>
      <c r="G126" s="11">
        <v>2</v>
      </c>
      <c r="H126" s="10" t="s">
        <v>190</v>
      </c>
      <c r="I126" s="10" t="s">
        <v>898</v>
      </c>
      <c r="J126" s="10" t="s">
        <v>899</v>
      </c>
      <c r="K126" s="10" t="s">
        <v>900</v>
      </c>
      <c r="L126" s="10" t="s">
        <v>901</v>
      </c>
      <c r="M126" s="10" t="s">
        <v>902</v>
      </c>
    </row>
    <row r="127" ht="25" customHeight="1" spans="1:13">
      <c r="A127" s="7" t="s">
        <v>53</v>
      </c>
      <c r="B127" s="7" t="s">
        <v>53</v>
      </c>
      <c r="C127" s="10" t="s">
        <v>9</v>
      </c>
      <c r="D127" s="10" t="s">
        <v>14</v>
      </c>
      <c r="E127" s="10" t="s">
        <v>895</v>
      </c>
      <c r="F127" s="10" t="s">
        <v>171</v>
      </c>
      <c r="G127" s="11">
        <v>3</v>
      </c>
      <c r="H127" s="10" t="s">
        <v>156</v>
      </c>
      <c r="I127" s="10" t="s">
        <v>157</v>
      </c>
      <c r="J127" s="10" t="s">
        <v>903</v>
      </c>
      <c r="K127" s="10" t="s">
        <v>904</v>
      </c>
      <c r="L127" s="10" t="s">
        <v>905</v>
      </c>
      <c r="M127" s="10" t="s">
        <v>906</v>
      </c>
    </row>
    <row r="128" ht="25" customHeight="1" spans="1:13">
      <c r="A128" s="7" t="s">
        <v>53</v>
      </c>
      <c r="B128" s="7" t="s">
        <v>53</v>
      </c>
      <c r="C128" s="10" t="s">
        <v>9</v>
      </c>
      <c r="D128" s="10" t="s">
        <v>14</v>
      </c>
      <c r="E128" s="10" t="s">
        <v>895</v>
      </c>
      <c r="F128" s="10" t="s">
        <v>171</v>
      </c>
      <c r="G128" s="11">
        <v>4</v>
      </c>
      <c r="H128" s="10" t="s">
        <v>907</v>
      </c>
      <c r="I128" s="10" t="s">
        <v>908</v>
      </c>
      <c r="J128" s="10" t="s">
        <v>909</v>
      </c>
      <c r="K128" s="10" t="s">
        <v>910</v>
      </c>
      <c r="L128" s="10" t="s">
        <v>911</v>
      </c>
      <c r="M128" s="10" t="s">
        <v>912</v>
      </c>
    </row>
    <row r="129" ht="25" customHeight="1" spans="1:13">
      <c r="A129" s="7" t="s">
        <v>53</v>
      </c>
      <c r="B129" s="7" t="s">
        <v>53</v>
      </c>
      <c r="C129" s="10" t="s">
        <v>9</v>
      </c>
      <c r="D129" s="10" t="s">
        <v>14</v>
      </c>
      <c r="E129" s="10" t="s">
        <v>895</v>
      </c>
      <c r="F129" s="10" t="s">
        <v>171</v>
      </c>
      <c r="G129" s="11">
        <v>5</v>
      </c>
      <c r="H129" s="10" t="s">
        <v>197</v>
      </c>
      <c r="I129" s="10" t="s">
        <v>462</v>
      </c>
      <c r="J129" s="10" t="s">
        <v>913</v>
      </c>
      <c r="K129" s="10" t="s">
        <v>914</v>
      </c>
      <c r="L129" s="10" t="s">
        <v>915</v>
      </c>
      <c r="M129" s="10" t="s">
        <v>916</v>
      </c>
    </row>
    <row r="130" ht="25" customHeight="1" spans="1:13">
      <c r="A130" s="7" t="s">
        <v>53</v>
      </c>
      <c r="B130" s="7" t="s">
        <v>53</v>
      </c>
      <c r="C130" s="10" t="s">
        <v>9</v>
      </c>
      <c r="D130" s="10" t="s">
        <v>14</v>
      </c>
      <c r="E130" s="10" t="s">
        <v>895</v>
      </c>
      <c r="F130" s="10" t="s">
        <v>171</v>
      </c>
      <c r="G130" s="11">
        <v>6</v>
      </c>
      <c r="H130" s="10" t="s">
        <v>917</v>
      </c>
      <c r="I130" s="10" t="s">
        <v>918</v>
      </c>
      <c r="J130" s="10" t="s">
        <v>919</v>
      </c>
      <c r="K130" s="10" t="s">
        <v>920</v>
      </c>
      <c r="L130" s="10" t="s">
        <v>921</v>
      </c>
      <c r="M130" s="10" t="s">
        <v>922</v>
      </c>
    </row>
    <row r="131" ht="25" customHeight="1" spans="1:13">
      <c r="A131" s="7" t="s">
        <v>53</v>
      </c>
      <c r="B131" s="7" t="s">
        <v>53</v>
      </c>
      <c r="C131" s="10" t="s">
        <v>9</v>
      </c>
      <c r="D131" s="10" t="s">
        <v>14</v>
      </c>
      <c r="E131" s="10" t="s">
        <v>895</v>
      </c>
      <c r="F131" s="10" t="s">
        <v>171</v>
      </c>
      <c r="G131" s="11">
        <v>7</v>
      </c>
      <c r="H131" s="10" t="s">
        <v>923</v>
      </c>
      <c r="I131" s="10" t="s">
        <v>924</v>
      </c>
      <c r="J131" s="10" t="s">
        <v>925</v>
      </c>
      <c r="K131" s="10" t="s">
        <v>926</v>
      </c>
      <c r="L131" s="10" t="s">
        <v>927</v>
      </c>
      <c r="M131" s="10" t="s">
        <v>928</v>
      </c>
    </row>
    <row r="132" ht="25" customHeight="1" spans="1:13">
      <c r="A132" s="7" t="s">
        <v>53</v>
      </c>
      <c r="B132" s="7" t="s">
        <v>53</v>
      </c>
      <c r="C132" s="10" t="s">
        <v>9</v>
      </c>
      <c r="D132" s="10" t="s">
        <v>14</v>
      </c>
      <c r="E132" s="10" t="s">
        <v>895</v>
      </c>
      <c r="F132" s="10" t="s">
        <v>171</v>
      </c>
      <c r="G132" s="11">
        <v>8</v>
      </c>
      <c r="H132" s="10" t="s">
        <v>164</v>
      </c>
      <c r="I132" s="10" t="s">
        <v>630</v>
      </c>
      <c r="J132" s="10" t="s">
        <v>929</v>
      </c>
      <c r="K132" s="10" t="s">
        <v>930</v>
      </c>
      <c r="L132" s="10" t="s">
        <v>931</v>
      </c>
      <c r="M132" s="10" t="s">
        <v>932</v>
      </c>
    </row>
    <row r="133" ht="25" customHeight="1" spans="1:13">
      <c r="A133" s="7" t="s">
        <v>53</v>
      </c>
      <c r="B133" s="7" t="s">
        <v>53</v>
      </c>
      <c r="C133" s="10" t="s">
        <v>9</v>
      </c>
      <c r="D133" s="10" t="s">
        <v>14</v>
      </c>
      <c r="E133" s="10" t="s">
        <v>196</v>
      </c>
      <c r="F133" s="10" t="s">
        <v>171</v>
      </c>
      <c r="G133" s="11">
        <v>1</v>
      </c>
      <c r="H133" s="10" t="s">
        <v>148</v>
      </c>
      <c r="I133" s="10" t="s">
        <v>933</v>
      </c>
      <c r="J133" s="10" t="s">
        <v>934</v>
      </c>
      <c r="K133" s="10" t="s">
        <v>935</v>
      </c>
      <c r="L133" s="10" t="s">
        <v>936</v>
      </c>
      <c r="M133" s="10" t="s">
        <v>937</v>
      </c>
    </row>
    <row r="134" ht="25" customHeight="1" spans="1:13">
      <c r="A134" s="7" t="s">
        <v>53</v>
      </c>
      <c r="B134" s="7" t="s">
        <v>53</v>
      </c>
      <c r="C134" s="10" t="s">
        <v>9</v>
      </c>
      <c r="D134" s="10" t="s">
        <v>14</v>
      </c>
      <c r="E134" s="10" t="s">
        <v>196</v>
      </c>
      <c r="F134" s="10" t="s">
        <v>171</v>
      </c>
      <c r="G134" s="11">
        <v>2</v>
      </c>
      <c r="H134" s="10" t="s">
        <v>938</v>
      </c>
      <c r="I134" s="10" t="s">
        <v>939</v>
      </c>
      <c r="J134" s="10" t="s">
        <v>940</v>
      </c>
      <c r="K134" s="10" t="s">
        <v>941</v>
      </c>
      <c r="L134" s="10" t="s">
        <v>942</v>
      </c>
      <c r="M134" s="10" t="s">
        <v>943</v>
      </c>
    </row>
    <row r="135" ht="25" customHeight="1" spans="1:13">
      <c r="A135" s="7" t="s">
        <v>53</v>
      </c>
      <c r="B135" s="7" t="s">
        <v>53</v>
      </c>
      <c r="C135" s="10" t="s">
        <v>9</v>
      </c>
      <c r="D135" s="10" t="s">
        <v>14</v>
      </c>
      <c r="E135" s="10" t="s">
        <v>196</v>
      </c>
      <c r="F135" s="10" t="s">
        <v>171</v>
      </c>
      <c r="G135" s="11">
        <v>3</v>
      </c>
      <c r="H135" s="10" t="s">
        <v>197</v>
      </c>
      <c r="I135" s="10" t="s">
        <v>944</v>
      </c>
      <c r="J135" s="10" t="s">
        <v>945</v>
      </c>
      <c r="K135" s="10" t="s">
        <v>946</v>
      </c>
      <c r="L135" s="10" t="s">
        <v>947</v>
      </c>
      <c r="M135" s="10" t="s">
        <v>948</v>
      </c>
    </row>
    <row r="136" ht="25" customHeight="1" spans="1:13">
      <c r="A136" s="7" t="s">
        <v>53</v>
      </c>
      <c r="B136" s="7" t="s">
        <v>53</v>
      </c>
      <c r="C136" s="10" t="s">
        <v>9</v>
      </c>
      <c r="D136" s="10" t="s">
        <v>14</v>
      </c>
      <c r="E136" s="10" t="s">
        <v>196</v>
      </c>
      <c r="F136" s="10" t="s">
        <v>171</v>
      </c>
      <c r="G136" s="11">
        <v>4</v>
      </c>
      <c r="H136" s="10" t="s">
        <v>661</v>
      </c>
      <c r="I136" s="10" t="s">
        <v>949</v>
      </c>
      <c r="J136" s="10" t="s">
        <v>950</v>
      </c>
      <c r="K136" s="10" t="s">
        <v>951</v>
      </c>
      <c r="L136" s="10" t="s">
        <v>952</v>
      </c>
      <c r="M136" s="10" t="s">
        <v>953</v>
      </c>
    </row>
    <row r="137" ht="25" customHeight="1" spans="1:13">
      <c r="A137" s="7" t="s">
        <v>53</v>
      </c>
      <c r="B137" s="7" t="s">
        <v>53</v>
      </c>
      <c r="C137" s="10" t="s">
        <v>9</v>
      </c>
      <c r="D137" s="10" t="s">
        <v>14</v>
      </c>
      <c r="E137" s="10" t="s">
        <v>196</v>
      </c>
      <c r="F137" s="10" t="s">
        <v>171</v>
      </c>
      <c r="G137" s="11">
        <v>5</v>
      </c>
      <c r="H137" s="10" t="s">
        <v>669</v>
      </c>
      <c r="I137" s="10" t="s">
        <v>954</v>
      </c>
      <c r="J137" s="10" t="s">
        <v>955</v>
      </c>
      <c r="K137" s="10" t="s">
        <v>956</v>
      </c>
      <c r="L137" s="10" t="s">
        <v>957</v>
      </c>
      <c r="M137" s="10" t="s">
        <v>958</v>
      </c>
    </row>
    <row r="138" ht="25" customHeight="1" spans="1:13">
      <c r="A138" s="7" t="s">
        <v>53</v>
      </c>
      <c r="B138" s="7" t="s">
        <v>53</v>
      </c>
      <c r="C138" s="10" t="s">
        <v>9</v>
      </c>
      <c r="D138" s="10" t="s">
        <v>14</v>
      </c>
      <c r="E138" s="10" t="s">
        <v>196</v>
      </c>
      <c r="F138" s="10" t="s">
        <v>171</v>
      </c>
      <c r="G138" s="11">
        <v>6</v>
      </c>
      <c r="H138" s="10" t="s">
        <v>690</v>
      </c>
      <c r="I138" s="10" t="s">
        <v>959</v>
      </c>
      <c r="J138" s="10" t="s">
        <v>960</v>
      </c>
      <c r="K138" s="10" t="s">
        <v>961</v>
      </c>
      <c r="L138" s="10" t="s">
        <v>962</v>
      </c>
      <c r="M138" s="10" t="s">
        <v>963</v>
      </c>
    </row>
    <row r="139" ht="25" customHeight="1" spans="1:13">
      <c r="A139" s="7" t="s">
        <v>53</v>
      </c>
      <c r="B139" s="7" t="s">
        <v>53</v>
      </c>
      <c r="C139" s="10" t="s">
        <v>9</v>
      </c>
      <c r="D139" s="10" t="s">
        <v>14</v>
      </c>
      <c r="E139" s="10" t="s">
        <v>196</v>
      </c>
      <c r="F139" s="10" t="s">
        <v>171</v>
      </c>
      <c r="G139" s="11">
        <v>7</v>
      </c>
      <c r="H139" s="10" t="s">
        <v>618</v>
      </c>
      <c r="I139" s="10" t="s">
        <v>964</v>
      </c>
      <c r="J139" s="10" t="s">
        <v>965</v>
      </c>
      <c r="K139" s="10" t="s">
        <v>966</v>
      </c>
      <c r="L139" s="10" t="s">
        <v>967</v>
      </c>
      <c r="M139" s="10" t="s">
        <v>968</v>
      </c>
    </row>
    <row r="140" ht="25" customHeight="1" spans="1:13">
      <c r="A140" s="7" t="s">
        <v>53</v>
      </c>
      <c r="B140" s="7" t="s">
        <v>53</v>
      </c>
      <c r="C140" s="10" t="s">
        <v>9</v>
      </c>
      <c r="D140" s="10" t="s">
        <v>14</v>
      </c>
      <c r="E140" s="10" t="s">
        <v>196</v>
      </c>
      <c r="F140" s="10" t="s">
        <v>171</v>
      </c>
      <c r="G140" s="11">
        <v>8</v>
      </c>
      <c r="H140" s="10" t="s">
        <v>197</v>
      </c>
      <c r="I140" s="10" t="s">
        <v>198</v>
      </c>
      <c r="J140" s="10" t="s">
        <v>199</v>
      </c>
      <c r="K140" s="10" t="s">
        <v>193</v>
      </c>
      <c r="L140" s="10" t="s">
        <v>194</v>
      </c>
      <c r="M140" s="10" t="s">
        <v>195</v>
      </c>
    </row>
    <row r="141" ht="25" customHeight="1" spans="1:13">
      <c r="A141" s="7" t="s">
        <v>53</v>
      </c>
      <c r="B141" s="7" t="s">
        <v>53</v>
      </c>
      <c r="C141" s="10" t="s">
        <v>9</v>
      </c>
      <c r="D141" s="10" t="s">
        <v>14</v>
      </c>
      <c r="E141" s="10" t="s">
        <v>178</v>
      </c>
      <c r="F141" s="10" t="s">
        <v>171</v>
      </c>
      <c r="G141" s="11">
        <v>1</v>
      </c>
      <c r="H141" s="10" t="s">
        <v>197</v>
      </c>
      <c r="I141" s="10" t="s">
        <v>646</v>
      </c>
      <c r="J141" s="10" t="s">
        <v>969</v>
      </c>
      <c r="K141" s="10" t="s">
        <v>970</v>
      </c>
      <c r="L141" s="10" t="s">
        <v>971</v>
      </c>
      <c r="M141" s="10" t="s">
        <v>972</v>
      </c>
    </row>
    <row r="142" ht="25" customHeight="1" spans="1:13">
      <c r="A142" s="7" t="s">
        <v>53</v>
      </c>
      <c r="B142" s="7" t="s">
        <v>53</v>
      </c>
      <c r="C142" s="10" t="s">
        <v>9</v>
      </c>
      <c r="D142" s="10" t="s">
        <v>14</v>
      </c>
      <c r="E142" s="10" t="s">
        <v>178</v>
      </c>
      <c r="F142" s="10" t="s">
        <v>171</v>
      </c>
      <c r="G142" s="11">
        <v>2</v>
      </c>
      <c r="H142" s="10" t="s">
        <v>973</v>
      </c>
      <c r="I142" s="10" t="s">
        <v>974</v>
      </c>
      <c r="J142" s="10" t="s">
        <v>975</v>
      </c>
      <c r="K142" s="10" t="s">
        <v>976</v>
      </c>
      <c r="L142" s="10" t="s">
        <v>977</v>
      </c>
      <c r="M142" s="10" t="s">
        <v>978</v>
      </c>
    </row>
    <row r="143" ht="25" customHeight="1" spans="1:13">
      <c r="A143" s="7" t="s">
        <v>53</v>
      </c>
      <c r="B143" s="7" t="s">
        <v>53</v>
      </c>
      <c r="C143" s="10" t="s">
        <v>9</v>
      </c>
      <c r="D143" s="10" t="s">
        <v>14</v>
      </c>
      <c r="E143" s="10" t="s">
        <v>178</v>
      </c>
      <c r="F143" s="10" t="s">
        <v>171</v>
      </c>
      <c r="G143" s="11">
        <v>3</v>
      </c>
      <c r="H143" s="10" t="s">
        <v>618</v>
      </c>
      <c r="I143" s="10" t="s">
        <v>979</v>
      </c>
      <c r="J143" s="10" t="s">
        <v>980</v>
      </c>
      <c r="K143" s="10" t="s">
        <v>981</v>
      </c>
      <c r="L143" s="10" t="s">
        <v>982</v>
      </c>
      <c r="M143" s="10" t="s">
        <v>983</v>
      </c>
    </row>
    <row r="144" ht="25" customHeight="1" spans="1:13">
      <c r="A144" s="7" t="s">
        <v>53</v>
      </c>
      <c r="B144" s="7" t="s">
        <v>53</v>
      </c>
      <c r="C144" s="10" t="s">
        <v>9</v>
      </c>
      <c r="D144" s="10" t="s">
        <v>14</v>
      </c>
      <c r="E144" s="10" t="s">
        <v>178</v>
      </c>
      <c r="F144" s="10" t="s">
        <v>171</v>
      </c>
      <c r="G144" s="11">
        <v>4</v>
      </c>
      <c r="H144" s="10" t="s">
        <v>618</v>
      </c>
      <c r="I144" s="10" t="s">
        <v>984</v>
      </c>
      <c r="J144" s="10" t="s">
        <v>985</v>
      </c>
      <c r="K144" s="10" t="s">
        <v>986</v>
      </c>
      <c r="L144" s="10" t="s">
        <v>987</v>
      </c>
      <c r="M144" s="10" t="s">
        <v>988</v>
      </c>
    </row>
    <row r="145" ht="25" customHeight="1" spans="1:13">
      <c r="A145" s="7" t="s">
        <v>53</v>
      </c>
      <c r="B145" s="7" t="s">
        <v>53</v>
      </c>
      <c r="C145" s="10" t="s">
        <v>9</v>
      </c>
      <c r="D145" s="10" t="s">
        <v>14</v>
      </c>
      <c r="E145" s="10" t="s">
        <v>178</v>
      </c>
      <c r="F145" s="10" t="s">
        <v>171</v>
      </c>
      <c r="G145" s="11">
        <v>5</v>
      </c>
      <c r="H145" s="10" t="s">
        <v>184</v>
      </c>
      <c r="I145" s="10" t="s">
        <v>989</v>
      </c>
      <c r="J145" s="10" t="s">
        <v>990</v>
      </c>
      <c r="K145" s="10" t="s">
        <v>991</v>
      </c>
      <c r="L145" s="10" t="s">
        <v>992</v>
      </c>
      <c r="M145" s="10" t="s">
        <v>993</v>
      </c>
    </row>
    <row r="146" ht="25" customHeight="1" spans="1:13">
      <c r="A146" s="7" t="s">
        <v>53</v>
      </c>
      <c r="B146" s="7" t="s">
        <v>53</v>
      </c>
      <c r="C146" s="10" t="s">
        <v>9</v>
      </c>
      <c r="D146" s="10" t="s">
        <v>14</v>
      </c>
      <c r="E146" s="10" t="s">
        <v>178</v>
      </c>
      <c r="F146" s="10" t="s">
        <v>171</v>
      </c>
      <c r="G146" s="11">
        <v>6</v>
      </c>
      <c r="H146" s="10" t="s">
        <v>76</v>
      </c>
      <c r="I146" s="10" t="s">
        <v>179</v>
      </c>
      <c r="J146" s="10" t="s">
        <v>180</v>
      </c>
      <c r="K146" s="10" t="s">
        <v>175</v>
      </c>
      <c r="L146" s="10" t="s">
        <v>176</v>
      </c>
      <c r="M146" s="10" t="s">
        <v>177</v>
      </c>
    </row>
    <row r="147" ht="25" customHeight="1" spans="1:13">
      <c r="A147" s="7" t="s">
        <v>53</v>
      </c>
      <c r="B147" s="7" t="s">
        <v>53</v>
      </c>
      <c r="C147" s="10" t="s">
        <v>9</v>
      </c>
      <c r="D147" s="10" t="s">
        <v>14</v>
      </c>
      <c r="E147" s="10" t="s">
        <v>178</v>
      </c>
      <c r="F147" s="10" t="s">
        <v>171</v>
      </c>
      <c r="G147" s="11">
        <v>7</v>
      </c>
      <c r="H147" s="10" t="s">
        <v>548</v>
      </c>
      <c r="I147" s="10" t="s">
        <v>994</v>
      </c>
      <c r="J147" s="10" t="s">
        <v>995</v>
      </c>
      <c r="K147" s="10" t="s">
        <v>996</v>
      </c>
      <c r="L147" s="10" t="s">
        <v>997</v>
      </c>
      <c r="M147" s="10" t="s">
        <v>998</v>
      </c>
    </row>
    <row r="148" ht="25" customHeight="1" spans="1:13">
      <c r="A148" s="7" t="s">
        <v>53</v>
      </c>
      <c r="B148" s="7" t="s">
        <v>53</v>
      </c>
      <c r="C148" s="10" t="s">
        <v>9</v>
      </c>
      <c r="D148" s="10" t="s">
        <v>14</v>
      </c>
      <c r="E148" s="10" t="s">
        <v>178</v>
      </c>
      <c r="F148" s="10" t="s">
        <v>171</v>
      </c>
      <c r="G148" s="11">
        <v>8</v>
      </c>
      <c r="H148" s="10" t="s">
        <v>190</v>
      </c>
      <c r="I148" s="10" t="s">
        <v>506</v>
      </c>
      <c r="J148" s="10" t="s">
        <v>999</v>
      </c>
      <c r="K148" s="10" t="s">
        <v>1000</v>
      </c>
      <c r="L148" s="10" t="s">
        <v>1001</v>
      </c>
      <c r="M148" s="10" t="s">
        <v>1002</v>
      </c>
    </row>
    <row r="149" ht="25" customHeight="1" spans="1:13">
      <c r="A149" s="7" t="s">
        <v>53</v>
      </c>
      <c r="B149" s="7" t="s">
        <v>53</v>
      </c>
      <c r="C149" s="10" t="s">
        <v>9</v>
      </c>
      <c r="D149" s="10" t="s">
        <v>14</v>
      </c>
      <c r="E149" s="10" t="s">
        <v>170</v>
      </c>
      <c r="F149" s="10" t="s">
        <v>171</v>
      </c>
      <c r="G149" s="11">
        <v>1</v>
      </c>
      <c r="H149" s="10" t="s">
        <v>1003</v>
      </c>
      <c r="I149" s="10" t="s">
        <v>1004</v>
      </c>
      <c r="J149" s="10" t="s">
        <v>1005</v>
      </c>
      <c r="K149" s="10" t="s">
        <v>1006</v>
      </c>
      <c r="L149" s="10" t="s">
        <v>1007</v>
      </c>
      <c r="M149" s="10" t="s">
        <v>1008</v>
      </c>
    </row>
    <row r="150" ht="25" customHeight="1" spans="1:13">
      <c r="A150" s="7" t="s">
        <v>53</v>
      </c>
      <c r="B150" s="7" t="s">
        <v>53</v>
      </c>
      <c r="C150" s="10" t="s">
        <v>9</v>
      </c>
      <c r="D150" s="10" t="s">
        <v>14</v>
      </c>
      <c r="E150" s="10" t="s">
        <v>170</v>
      </c>
      <c r="F150" s="10" t="s">
        <v>171</v>
      </c>
      <c r="G150" s="11">
        <v>2</v>
      </c>
      <c r="H150" s="10" t="s">
        <v>618</v>
      </c>
      <c r="I150" s="10" t="s">
        <v>1009</v>
      </c>
      <c r="J150" s="10" t="s">
        <v>1010</v>
      </c>
      <c r="K150" s="10" t="s">
        <v>1011</v>
      </c>
      <c r="L150" s="10" t="s">
        <v>1012</v>
      </c>
      <c r="M150" s="10" t="s">
        <v>1013</v>
      </c>
    </row>
    <row r="151" ht="25" customHeight="1" spans="1:13">
      <c r="A151" s="7" t="s">
        <v>53</v>
      </c>
      <c r="B151" s="7" t="s">
        <v>53</v>
      </c>
      <c r="C151" s="10" t="s">
        <v>9</v>
      </c>
      <c r="D151" s="10" t="s">
        <v>14</v>
      </c>
      <c r="E151" s="10" t="s">
        <v>170</v>
      </c>
      <c r="F151" s="10" t="s">
        <v>171</v>
      </c>
      <c r="G151" s="11">
        <v>3</v>
      </c>
      <c r="H151" s="10" t="s">
        <v>76</v>
      </c>
      <c r="I151" s="10" t="s">
        <v>1014</v>
      </c>
      <c r="J151" s="10" t="s">
        <v>1015</v>
      </c>
      <c r="K151" s="10" t="s">
        <v>1016</v>
      </c>
      <c r="L151" s="10" t="s">
        <v>1017</v>
      </c>
      <c r="M151" s="10" t="s">
        <v>1018</v>
      </c>
    </row>
    <row r="152" ht="25" customHeight="1" spans="1:13">
      <c r="A152" s="7" t="s">
        <v>53</v>
      </c>
      <c r="B152" s="7" t="s">
        <v>53</v>
      </c>
      <c r="C152" s="10" t="s">
        <v>9</v>
      </c>
      <c r="D152" s="10" t="s">
        <v>14</v>
      </c>
      <c r="E152" s="10" t="s">
        <v>170</v>
      </c>
      <c r="F152" s="10" t="s">
        <v>171</v>
      </c>
      <c r="G152" s="11">
        <v>4</v>
      </c>
      <c r="H152" s="10" t="s">
        <v>586</v>
      </c>
      <c r="I152" s="10" t="s">
        <v>1019</v>
      </c>
      <c r="J152" s="10" t="s">
        <v>1020</v>
      </c>
      <c r="K152" s="10" t="s">
        <v>1021</v>
      </c>
      <c r="L152" s="10" t="s">
        <v>1022</v>
      </c>
      <c r="M152" s="10" t="s">
        <v>1023</v>
      </c>
    </row>
    <row r="153" ht="25" customHeight="1" spans="1:13">
      <c r="A153" s="7" t="s">
        <v>53</v>
      </c>
      <c r="B153" s="7" t="s">
        <v>53</v>
      </c>
      <c r="C153" s="10" t="s">
        <v>9</v>
      </c>
      <c r="D153" s="10" t="s">
        <v>14</v>
      </c>
      <c r="E153" s="10" t="s">
        <v>170</v>
      </c>
      <c r="F153" s="10" t="s">
        <v>171</v>
      </c>
      <c r="G153" s="11">
        <v>5</v>
      </c>
      <c r="H153" s="10" t="s">
        <v>172</v>
      </c>
      <c r="I153" s="10" t="s">
        <v>173</v>
      </c>
      <c r="J153" s="10" t="s">
        <v>174</v>
      </c>
      <c r="K153" s="10" t="s">
        <v>167</v>
      </c>
      <c r="L153" s="10" t="s">
        <v>168</v>
      </c>
      <c r="M153" s="10" t="s">
        <v>169</v>
      </c>
    </row>
    <row r="154" ht="25" customHeight="1" spans="1:13">
      <c r="A154" s="7" t="s">
        <v>53</v>
      </c>
      <c r="B154" s="7" t="s">
        <v>53</v>
      </c>
      <c r="C154" s="10" t="s">
        <v>9</v>
      </c>
      <c r="D154" s="10" t="s">
        <v>14</v>
      </c>
      <c r="E154" s="10" t="s">
        <v>170</v>
      </c>
      <c r="F154" s="10" t="s">
        <v>171</v>
      </c>
      <c r="G154" s="11">
        <v>6</v>
      </c>
      <c r="H154" s="10" t="s">
        <v>190</v>
      </c>
      <c r="I154" s="10" t="s">
        <v>191</v>
      </c>
      <c r="J154" s="10" t="s">
        <v>192</v>
      </c>
      <c r="K154" s="10" t="s">
        <v>187</v>
      </c>
      <c r="L154" s="10" t="s">
        <v>188</v>
      </c>
      <c r="M154" s="10" t="s">
        <v>189</v>
      </c>
    </row>
    <row r="155" ht="25" customHeight="1" spans="1:13">
      <c r="A155" s="7" t="s">
        <v>53</v>
      </c>
      <c r="B155" s="7" t="s">
        <v>53</v>
      </c>
      <c r="C155" s="10" t="s">
        <v>9</v>
      </c>
      <c r="D155" s="10" t="s">
        <v>14</v>
      </c>
      <c r="E155" s="10" t="s">
        <v>170</v>
      </c>
      <c r="F155" s="10" t="s">
        <v>171</v>
      </c>
      <c r="G155" s="11">
        <v>7</v>
      </c>
      <c r="H155" s="10" t="s">
        <v>156</v>
      </c>
      <c r="I155" s="10" t="s">
        <v>1024</v>
      </c>
      <c r="J155" s="10" t="s">
        <v>1025</v>
      </c>
      <c r="K155" s="10" t="s">
        <v>1026</v>
      </c>
      <c r="L155" s="10" t="s">
        <v>1027</v>
      </c>
      <c r="M155" s="10" t="s">
        <v>1028</v>
      </c>
    </row>
    <row r="156" ht="25" customHeight="1" spans="1:13">
      <c r="A156" s="7" t="s">
        <v>53</v>
      </c>
      <c r="B156" s="7" t="s">
        <v>53</v>
      </c>
      <c r="C156" s="10" t="s">
        <v>9</v>
      </c>
      <c r="D156" s="10" t="s">
        <v>14</v>
      </c>
      <c r="E156" s="10" t="s">
        <v>170</v>
      </c>
      <c r="F156" s="10" t="s">
        <v>171</v>
      </c>
      <c r="G156" s="11">
        <v>8</v>
      </c>
      <c r="H156" s="10" t="s">
        <v>764</v>
      </c>
      <c r="I156" s="10" t="s">
        <v>1029</v>
      </c>
      <c r="J156" s="10" t="s">
        <v>1030</v>
      </c>
      <c r="K156" s="10" t="s">
        <v>1031</v>
      </c>
      <c r="L156" s="10" t="s">
        <v>1032</v>
      </c>
      <c r="M156" s="10" t="s">
        <v>1033</v>
      </c>
    </row>
    <row r="157" ht="25" customHeight="1" spans="1:13">
      <c r="A157" s="7" t="s">
        <v>53</v>
      </c>
      <c r="B157" s="7" t="s">
        <v>53</v>
      </c>
      <c r="C157" s="10" t="s">
        <v>9</v>
      </c>
      <c r="D157" s="10" t="s">
        <v>14</v>
      </c>
      <c r="E157" s="10" t="s">
        <v>154</v>
      </c>
      <c r="F157" s="10" t="s">
        <v>155</v>
      </c>
      <c r="G157" s="11">
        <v>1</v>
      </c>
      <c r="H157" s="10" t="s">
        <v>1034</v>
      </c>
      <c r="I157" s="10" t="s">
        <v>1035</v>
      </c>
      <c r="J157" s="10" t="s">
        <v>1036</v>
      </c>
      <c r="K157" s="10" t="s">
        <v>1037</v>
      </c>
      <c r="L157" s="10" t="s">
        <v>1038</v>
      </c>
      <c r="M157" s="10" t="s">
        <v>1039</v>
      </c>
    </row>
    <row r="158" ht="25" customHeight="1" spans="1:13">
      <c r="A158" s="7" t="s">
        <v>53</v>
      </c>
      <c r="B158" s="7" t="s">
        <v>53</v>
      </c>
      <c r="C158" s="10" t="s">
        <v>9</v>
      </c>
      <c r="D158" s="10" t="s">
        <v>14</v>
      </c>
      <c r="E158" s="10" t="s">
        <v>154</v>
      </c>
      <c r="F158" s="10" t="s">
        <v>155</v>
      </c>
      <c r="G158" s="11">
        <v>2</v>
      </c>
      <c r="H158" s="10" t="s">
        <v>156</v>
      </c>
      <c r="I158" s="10" t="s">
        <v>157</v>
      </c>
      <c r="J158" s="10" t="s">
        <v>158</v>
      </c>
      <c r="K158" s="10" t="s">
        <v>151</v>
      </c>
      <c r="L158" s="10" t="s">
        <v>1040</v>
      </c>
      <c r="M158" s="10" t="s">
        <v>153</v>
      </c>
    </row>
    <row r="159" ht="25" customHeight="1" spans="1:13">
      <c r="A159" s="7" t="s">
        <v>53</v>
      </c>
      <c r="B159" s="7" t="s">
        <v>53</v>
      </c>
      <c r="C159" s="10" t="s">
        <v>9</v>
      </c>
      <c r="D159" s="10" t="s">
        <v>14</v>
      </c>
      <c r="E159" s="10" t="s">
        <v>154</v>
      </c>
      <c r="F159" s="10" t="s">
        <v>155</v>
      </c>
      <c r="G159" s="11">
        <v>3</v>
      </c>
      <c r="H159" s="10" t="s">
        <v>907</v>
      </c>
      <c r="I159" s="10" t="s">
        <v>908</v>
      </c>
      <c r="J159" s="10" t="s">
        <v>1041</v>
      </c>
      <c r="K159" s="10" t="s">
        <v>1042</v>
      </c>
      <c r="L159" s="10" t="s">
        <v>1043</v>
      </c>
      <c r="M159" s="10" t="s">
        <v>1044</v>
      </c>
    </row>
    <row r="160" ht="25" customHeight="1" spans="1:13">
      <c r="A160" s="7" t="s">
        <v>53</v>
      </c>
      <c r="B160" s="7" t="s">
        <v>53</v>
      </c>
      <c r="C160" s="10" t="s">
        <v>9</v>
      </c>
      <c r="D160" s="10" t="s">
        <v>14</v>
      </c>
      <c r="E160" s="10" t="s">
        <v>154</v>
      </c>
      <c r="F160" s="10" t="s">
        <v>155</v>
      </c>
      <c r="G160" s="11">
        <v>4</v>
      </c>
      <c r="H160" s="10" t="s">
        <v>1045</v>
      </c>
      <c r="I160" s="10" t="s">
        <v>1046</v>
      </c>
      <c r="J160" s="10" t="s">
        <v>1047</v>
      </c>
      <c r="K160" s="10" t="s">
        <v>1048</v>
      </c>
      <c r="L160" s="10" t="s">
        <v>1049</v>
      </c>
      <c r="M160" s="10" t="s">
        <v>1050</v>
      </c>
    </row>
    <row r="161" ht="25" customHeight="1" spans="1:13">
      <c r="A161" s="7" t="s">
        <v>53</v>
      </c>
      <c r="B161" s="7" t="s">
        <v>53</v>
      </c>
      <c r="C161" s="10" t="s">
        <v>9</v>
      </c>
      <c r="D161" s="10" t="s">
        <v>14</v>
      </c>
      <c r="E161" s="10" t="s">
        <v>154</v>
      </c>
      <c r="F161" s="10" t="s">
        <v>155</v>
      </c>
      <c r="G161" s="11">
        <v>5</v>
      </c>
      <c r="H161" s="10" t="s">
        <v>618</v>
      </c>
      <c r="I161" s="10" t="s">
        <v>746</v>
      </c>
      <c r="J161" s="10" t="s">
        <v>1051</v>
      </c>
      <c r="K161" s="10" t="s">
        <v>1052</v>
      </c>
      <c r="L161" s="10" t="s">
        <v>1053</v>
      </c>
      <c r="M161" s="10" t="s">
        <v>1054</v>
      </c>
    </row>
    <row r="162" ht="25" customHeight="1" spans="1:13">
      <c r="A162" s="7" t="s">
        <v>53</v>
      </c>
      <c r="B162" s="7" t="s">
        <v>53</v>
      </c>
      <c r="C162" s="10" t="s">
        <v>9</v>
      </c>
      <c r="D162" s="10" t="s">
        <v>14</v>
      </c>
      <c r="E162" s="10" t="s">
        <v>154</v>
      </c>
      <c r="F162" s="10" t="s">
        <v>155</v>
      </c>
      <c r="G162" s="11">
        <v>6</v>
      </c>
      <c r="H162" s="10" t="s">
        <v>618</v>
      </c>
      <c r="I162" s="10" t="s">
        <v>1055</v>
      </c>
      <c r="J162" s="10" t="s">
        <v>1056</v>
      </c>
      <c r="K162" s="10" t="s">
        <v>1057</v>
      </c>
      <c r="L162" s="10" t="s">
        <v>1058</v>
      </c>
      <c r="M162" s="10" t="s">
        <v>1059</v>
      </c>
    </row>
    <row r="163" ht="25" customHeight="1" spans="1:13">
      <c r="A163" s="7" t="s">
        <v>53</v>
      </c>
      <c r="B163" s="7" t="s">
        <v>53</v>
      </c>
      <c r="C163" s="10" t="s">
        <v>9</v>
      </c>
      <c r="D163" s="10" t="s">
        <v>14</v>
      </c>
      <c r="E163" s="10" t="s">
        <v>154</v>
      </c>
      <c r="F163" s="10" t="s">
        <v>155</v>
      </c>
      <c r="G163" s="11">
        <v>7</v>
      </c>
      <c r="H163" s="10" t="s">
        <v>172</v>
      </c>
      <c r="I163" s="10" t="s">
        <v>835</v>
      </c>
      <c r="J163" s="10" t="s">
        <v>1060</v>
      </c>
      <c r="K163" s="10" t="s">
        <v>1061</v>
      </c>
      <c r="L163" s="10" t="s">
        <v>1062</v>
      </c>
      <c r="M163" s="10" t="s">
        <v>1063</v>
      </c>
    </row>
    <row r="164" ht="25" customHeight="1" spans="1:13">
      <c r="A164" s="7" t="s">
        <v>53</v>
      </c>
      <c r="B164" s="7" t="s">
        <v>53</v>
      </c>
      <c r="C164" s="10" t="s">
        <v>9</v>
      </c>
      <c r="D164" s="10" t="s">
        <v>14</v>
      </c>
      <c r="E164" s="10" t="s">
        <v>154</v>
      </c>
      <c r="F164" s="10" t="s">
        <v>155</v>
      </c>
      <c r="G164" s="11">
        <v>8</v>
      </c>
      <c r="H164" s="10" t="s">
        <v>661</v>
      </c>
      <c r="I164" s="10" t="s">
        <v>418</v>
      </c>
      <c r="J164" s="10" t="s">
        <v>1064</v>
      </c>
      <c r="K164" s="10" t="s">
        <v>1065</v>
      </c>
      <c r="L164" s="10" t="s">
        <v>1066</v>
      </c>
      <c r="M164" s="10" t="s">
        <v>1067</v>
      </c>
    </row>
    <row r="165" ht="25" customHeight="1" spans="1:13">
      <c r="A165" s="7" t="s">
        <v>53</v>
      </c>
      <c r="B165" s="7" t="s">
        <v>53</v>
      </c>
      <c r="C165" s="10" t="s">
        <v>9</v>
      </c>
      <c r="D165" s="10" t="s">
        <v>14</v>
      </c>
      <c r="E165" s="10" t="s">
        <v>1068</v>
      </c>
      <c r="F165" s="10" t="s">
        <v>155</v>
      </c>
      <c r="G165" s="11">
        <v>1</v>
      </c>
      <c r="H165" s="10" t="s">
        <v>190</v>
      </c>
      <c r="I165" s="10" t="s">
        <v>1069</v>
      </c>
      <c r="J165" s="10" t="s">
        <v>1070</v>
      </c>
      <c r="K165" s="10" t="s">
        <v>1071</v>
      </c>
      <c r="L165" s="10" t="s">
        <v>1072</v>
      </c>
      <c r="M165" s="10" t="s">
        <v>1073</v>
      </c>
    </row>
    <row r="166" ht="25" customHeight="1" spans="1:13">
      <c r="A166" s="7" t="s">
        <v>53</v>
      </c>
      <c r="B166" s="7" t="s">
        <v>53</v>
      </c>
      <c r="C166" s="10" t="s">
        <v>9</v>
      </c>
      <c r="D166" s="10" t="s">
        <v>14</v>
      </c>
      <c r="E166" s="10" t="s">
        <v>1068</v>
      </c>
      <c r="F166" s="10" t="s">
        <v>155</v>
      </c>
      <c r="G166" s="11">
        <v>2</v>
      </c>
      <c r="H166" s="10" t="s">
        <v>889</v>
      </c>
      <c r="I166" s="10" t="s">
        <v>1074</v>
      </c>
      <c r="J166" s="10" t="s">
        <v>1075</v>
      </c>
      <c r="K166" s="10" t="s">
        <v>1076</v>
      </c>
      <c r="L166" s="10" t="s">
        <v>1077</v>
      </c>
      <c r="M166" s="10" t="s">
        <v>1078</v>
      </c>
    </row>
    <row r="167" ht="25" customHeight="1" spans="1:13">
      <c r="A167" s="7" t="s">
        <v>53</v>
      </c>
      <c r="B167" s="7" t="s">
        <v>53</v>
      </c>
      <c r="C167" s="10" t="s">
        <v>9</v>
      </c>
      <c r="D167" s="10" t="s">
        <v>14</v>
      </c>
      <c r="E167" s="10" t="s">
        <v>1068</v>
      </c>
      <c r="F167" s="10" t="s">
        <v>155</v>
      </c>
      <c r="G167" s="11">
        <v>3</v>
      </c>
      <c r="H167" s="10" t="s">
        <v>618</v>
      </c>
      <c r="I167" s="10" t="s">
        <v>1079</v>
      </c>
      <c r="J167" s="10" t="s">
        <v>1080</v>
      </c>
      <c r="K167" s="10" t="s">
        <v>1081</v>
      </c>
      <c r="L167" s="10" t="s">
        <v>1082</v>
      </c>
      <c r="M167" s="10" t="s">
        <v>1083</v>
      </c>
    </row>
    <row r="168" ht="25" customHeight="1" spans="1:13">
      <c r="A168" s="7" t="s">
        <v>53</v>
      </c>
      <c r="B168" s="7" t="s">
        <v>53</v>
      </c>
      <c r="C168" s="10" t="s">
        <v>9</v>
      </c>
      <c r="D168" s="10" t="s">
        <v>14</v>
      </c>
      <c r="E168" s="10" t="s">
        <v>1068</v>
      </c>
      <c r="F168" s="10" t="s">
        <v>155</v>
      </c>
      <c r="G168" s="11">
        <v>4</v>
      </c>
      <c r="H168" s="10" t="s">
        <v>190</v>
      </c>
      <c r="I168" s="10" t="s">
        <v>898</v>
      </c>
      <c r="J168" s="10" t="s">
        <v>1084</v>
      </c>
      <c r="K168" s="10" t="s">
        <v>1085</v>
      </c>
      <c r="L168" s="10" t="s">
        <v>1086</v>
      </c>
      <c r="M168" s="10" t="s">
        <v>1087</v>
      </c>
    </row>
    <row r="169" ht="25" customHeight="1" spans="1:13">
      <c r="A169" s="7" t="s">
        <v>53</v>
      </c>
      <c r="B169" s="7" t="s">
        <v>53</v>
      </c>
      <c r="C169" s="10" t="s">
        <v>9</v>
      </c>
      <c r="D169" s="10" t="s">
        <v>14</v>
      </c>
      <c r="E169" s="10" t="s">
        <v>1068</v>
      </c>
      <c r="F169" s="10" t="s">
        <v>155</v>
      </c>
      <c r="G169" s="11">
        <v>5</v>
      </c>
      <c r="H169" s="10" t="s">
        <v>1088</v>
      </c>
      <c r="I169" s="10" t="s">
        <v>1089</v>
      </c>
      <c r="J169" s="10" t="s">
        <v>1090</v>
      </c>
      <c r="K169" s="10" t="s">
        <v>1091</v>
      </c>
      <c r="L169" s="10" t="s">
        <v>1092</v>
      </c>
      <c r="M169" s="10" t="s">
        <v>1093</v>
      </c>
    </row>
    <row r="170" ht="25" customHeight="1" spans="1:13">
      <c r="A170" s="7" t="s">
        <v>53</v>
      </c>
      <c r="B170" s="7" t="s">
        <v>53</v>
      </c>
      <c r="C170" s="10" t="s">
        <v>9</v>
      </c>
      <c r="D170" s="10" t="s">
        <v>14</v>
      </c>
      <c r="E170" s="10" t="s">
        <v>1068</v>
      </c>
      <c r="F170" s="10" t="s">
        <v>155</v>
      </c>
      <c r="G170" s="11">
        <v>6</v>
      </c>
      <c r="H170" s="10" t="s">
        <v>148</v>
      </c>
      <c r="I170" s="10" t="s">
        <v>1094</v>
      </c>
      <c r="J170" s="10" t="s">
        <v>1095</v>
      </c>
      <c r="K170" s="10" t="s">
        <v>1096</v>
      </c>
      <c r="L170" s="10" t="s">
        <v>1097</v>
      </c>
      <c r="M170" s="10" t="s">
        <v>1098</v>
      </c>
    </row>
    <row r="171" ht="25" customHeight="1" spans="1:13">
      <c r="A171" s="7" t="s">
        <v>53</v>
      </c>
      <c r="B171" s="7" t="s">
        <v>53</v>
      </c>
      <c r="C171" s="10" t="s">
        <v>9</v>
      </c>
      <c r="D171" s="10" t="s">
        <v>14</v>
      </c>
      <c r="E171" s="10" t="s">
        <v>1068</v>
      </c>
      <c r="F171" s="10" t="s">
        <v>155</v>
      </c>
      <c r="G171" s="11">
        <v>7</v>
      </c>
      <c r="H171" s="10" t="s">
        <v>156</v>
      </c>
      <c r="I171" s="10" t="s">
        <v>135</v>
      </c>
      <c r="J171" s="10" t="s">
        <v>1099</v>
      </c>
      <c r="K171" s="10" t="s">
        <v>1100</v>
      </c>
      <c r="L171" s="10" t="s">
        <v>1101</v>
      </c>
      <c r="M171" s="10" t="s">
        <v>1102</v>
      </c>
    </row>
    <row r="172" ht="25" customHeight="1" spans="1:13">
      <c r="A172" s="7" t="s">
        <v>53</v>
      </c>
      <c r="B172" s="7" t="s">
        <v>53</v>
      </c>
      <c r="C172" s="10" t="s">
        <v>9</v>
      </c>
      <c r="D172" s="10" t="s">
        <v>14</v>
      </c>
      <c r="E172" s="10" t="s">
        <v>1068</v>
      </c>
      <c r="F172" s="10" t="s">
        <v>155</v>
      </c>
      <c r="G172" s="11">
        <v>8</v>
      </c>
      <c r="H172" s="10" t="s">
        <v>569</v>
      </c>
      <c r="I172" s="10" t="s">
        <v>1103</v>
      </c>
      <c r="J172" s="10" t="s">
        <v>1104</v>
      </c>
      <c r="K172" s="10" t="s">
        <v>1105</v>
      </c>
      <c r="L172" s="10" t="s">
        <v>1106</v>
      </c>
      <c r="M172" s="10" t="s">
        <v>1107</v>
      </c>
    </row>
  </sheetData>
  <mergeCells count="2">
    <mergeCell ref="A1:M1"/>
    <mergeCell ref="A2:M2"/>
  </mergeCells>
  <dataValidations count="1">
    <dataValidation type="list" sqref="A5:A172">
      <formula1>"ADD"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showGridLines="0" workbookViewId="0">
      <selection activeCell="A1" sqref="A1:D1"/>
    </sheetView>
  </sheetViews>
  <sheetFormatPr defaultColWidth="9" defaultRowHeight="14" outlineLevelCol="3"/>
  <cols>
    <col min="1" max="1" width="40" customWidth="1"/>
    <col min="2" max="2" width="54" customWidth="1"/>
    <col min="3" max="3" width="48" customWidth="1"/>
    <col min="4" max="4" width="58" customWidth="1"/>
  </cols>
  <sheetData>
    <row r="1" ht="30" customHeight="1" spans="1:4">
      <c r="A1" s="1" t="s">
        <v>1108</v>
      </c>
      <c r="B1" s="1" t="s">
        <v>1108</v>
      </c>
      <c r="C1" s="1" t="s">
        <v>1108</v>
      </c>
      <c r="D1" s="1" t="s">
        <v>1108</v>
      </c>
    </row>
    <row r="2" ht="46" customHeight="1" spans="1:4">
      <c r="A2" s="2" t="s">
        <v>1109</v>
      </c>
      <c r="B2" s="2" t="s">
        <v>1109</v>
      </c>
      <c r="C2" s="2" t="s">
        <v>1109</v>
      </c>
      <c r="D2" s="2" t="s">
        <v>1109</v>
      </c>
    </row>
    <row r="4" spans="1:4">
      <c r="A4" s="3" t="s">
        <v>1110</v>
      </c>
      <c r="B4" s="3" t="s">
        <v>1111</v>
      </c>
      <c r="C4" s="3" t="s">
        <v>1112</v>
      </c>
      <c r="D4" s="3" t="s">
        <v>1113</v>
      </c>
    </row>
    <row r="5" ht="48" customHeight="1" spans="1:4">
      <c r="A5" s="4" t="s">
        <v>1114</v>
      </c>
      <c r="B5" s="5" t="s">
        <v>1115</v>
      </c>
      <c r="C5" s="5" t="s">
        <v>1116</v>
      </c>
      <c r="D5" s="4" t="s">
        <v>1117</v>
      </c>
    </row>
    <row r="6" ht="48" customHeight="1" spans="1:4">
      <c r="A6" s="6" t="s">
        <v>1118</v>
      </c>
      <c r="B6" s="7" t="s">
        <v>1119</v>
      </c>
      <c r="C6" s="7" t="s">
        <v>1120</v>
      </c>
      <c r="D6" s="6" t="s">
        <v>1121</v>
      </c>
    </row>
    <row r="7" ht="48" customHeight="1" spans="1:4">
      <c r="A7" s="6" t="s">
        <v>1122</v>
      </c>
      <c r="B7" s="7" t="s">
        <v>1123</v>
      </c>
      <c r="C7" s="7" t="s">
        <v>1124</v>
      </c>
      <c r="D7" s="6" t="s">
        <v>1125</v>
      </c>
    </row>
    <row r="8" ht="48" customHeight="1" spans="1:4">
      <c r="A8" s="6" t="s">
        <v>1126</v>
      </c>
      <c r="B8" s="7" t="s">
        <v>1127</v>
      </c>
      <c r="C8" s="7" t="s">
        <v>1128</v>
      </c>
      <c r="D8" s="6" t="s">
        <v>1129</v>
      </c>
    </row>
    <row r="9" ht="48" customHeight="1" spans="1:4">
      <c r="A9" s="6" t="s">
        <v>1130</v>
      </c>
      <c r="B9" s="7" t="s">
        <v>1131</v>
      </c>
      <c r="C9" s="7" t="s">
        <v>1132</v>
      </c>
      <c r="D9" s="6" t="s">
        <v>1133</v>
      </c>
    </row>
    <row r="10" ht="48" customHeight="1" spans="1:4">
      <c r="A10" s="6" t="s">
        <v>1134</v>
      </c>
      <c r="B10" s="7" t="s">
        <v>1135</v>
      </c>
      <c r="C10" s="7" t="s">
        <v>1136</v>
      </c>
      <c r="D10" s="6" t="s">
        <v>1137</v>
      </c>
    </row>
    <row r="11" ht="48" customHeight="1" spans="1:4">
      <c r="A11" s="6" t="s">
        <v>1138</v>
      </c>
      <c r="B11" s="7" t="s">
        <v>1139</v>
      </c>
      <c r="C11" s="7" t="s">
        <v>1140</v>
      </c>
      <c r="D11" s="6" t="s">
        <v>1141</v>
      </c>
    </row>
    <row r="12" ht="48" customHeight="1" spans="1:4">
      <c r="A12" s="6" t="s">
        <v>1142</v>
      </c>
      <c r="B12" s="7" t="s">
        <v>1143</v>
      </c>
      <c r="C12" s="7" t="s">
        <v>1144</v>
      </c>
      <c r="D12" s="6" t="s">
        <v>1145</v>
      </c>
    </row>
    <row r="13" ht="48" customHeight="1" spans="1:4">
      <c r="A13" s="6" t="s">
        <v>1146</v>
      </c>
      <c r="B13" s="7" t="s">
        <v>1147</v>
      </c>
      <c r="C13" s="7" t="s">
        <v>1144</v>
      </c>
      <c r="D13" s="6" t="s">
        <v>1148</v>
      </c>
    </row>
    <row r="14" ht="48" customHeight="1" spans="1:4">
      <c r="A14" s="6" t="s">
        <v>1149</v>
      </c>
      <c r="B14" s="7" t="s">
        <v>1127</v>
      </c>
      <c r="C14" s="7" t="s">
        <v>1128</v>
      </c>
      <c r="D14" s="6" t="s">
        <v>1129</v>
      </c>
    </row>
    <row r="15" ht="48" customHeight="1" spans="1:4">
      <c r="A15" s="6" t="s">
        <v>1150</v>
      </c>
      <c r="B15" s="7" t="s">
        <v>1151</v>
      </c>
      <c r="C15" s="7" t="s">
        <v>1132</v>
      </c>
      <c r="D15" s="6" t="s">
        <v>1133</v>
      </c>
    </row>
    <row r="16" ht="48" customHeight="1" spans="1:4">
      <c r="A16" s="6" t="s">
        <v>1152</v>
      </c>
      <c r="B16" s="7" t="s">
        <v>349</v>
      </c>
      <c r="C16" s="7" t="s">
        <v>1153</v>
      </c>
      <c r="D16" s="6" t="s">
        <v>1154</v>
      </c>
    </row>
    <row r="17" ht="48" customHeight="1" spans="1:4">
      <c r="A17" s="6" t="s">
        <v>1155</v>
      </c>
      <c r="B17" s="7" t="s">
        <v>1156</v>
      </c>
      <c r="C17" s="7" t="s">
        <v>1157</v>
      </c>
      <c r="D17" s="6" t="s">
        <v>1158</v>
      </c>
    </row>
    <row r="18" ht="48" customHeight="1" spans="1:4">
      <c r="A18" s="6" t="s">
        <v>1159</v>
      </c>
      <c r="B18" s="7" t="s">
        <v>1160</v>
      </c>
      <c r="C18" s="7" t="s">
        <v>1161</v>
      </c>
      <c r="D18" s="6" t="s">
        <v>1162</v>
      </c>
    </row>
    <row r="19" ht="48" customHeight="1" spans="1:4">
      <c r="A19" s="6" t="s">
        <v>1163</v>
      </c>
      <c r="B19" s="7" t="s">
        <v>1164</v>
      </c>
      <c r="C19" s="7" t="s">
        <v>1165</v>
      </c>
      <c r="D19" s="6" t="s">
        <v>1166</v>
      </c>
    </row>
  </sheetData>
  <mergeCells count="2">
    <mergeCell ref="A1:D1"/>
    <mergeCell ref="A2:D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Review Control</vt:lpstr>
      <vt:lpstr>Landing Copy</vt:lpstr>
      <vt:lpstr>Featured Decks</vt:lpstr>
      <vt:lpstr>All Top 8</vt:lpstr>
      <vt:lpstr>Field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DJac</cp:lastModifiedBy>
  <dcterms:created xsi:type="dcterms:W3CDTF">2026-09-02T06:29:51Z</dcterms:created>
  <dcterms:modified xsi:type="dcterms:W3CDTF">2026-09-02T07:47:46Z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1A753B8F30104C02924638037A7CFD32_12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