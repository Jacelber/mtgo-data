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5e5f1dc8cc40cf" /></Relationships>
</file>

<file path=xl/workbook.xml><?xml version="1.0" encoding="utf-8"?>
<x:workbook xmlns:x="http://schemas.openxmlformats.org/spreadsheetml/2006/main">
  <x:sheets>
    <x:sheet xmlns:r="http://schemas.openxmlformats.org/officeDocument/2006/relationships" name="Review Control" sheetId="1" r:id="Rd139cd90bab54411"/>
    <x:sheet xmlns:r="http://schemas.openxmlformats.org/officeDocument/2006/relationships" name="Landing Copy" sheetId="2" r:id="Rf3ebf4a5bad54504"/>
    <x:sheet xmlns:r="http://schemas.openxmlformats.org/officeDocument/2006/relationships" name="Featured Decks" sheetId="3" r:id="R64957e32e1cf4f78"/>
    <x:sheet xmlns:r="http://schemas.openxmlformats.org/officeDocument/2006/relationships" name="All Top 8" sheetId="4" r:id="Rc29a65efa91a4c78"/>
    <x:sheet xmlns:r="http://schemas.openxmlformats.org/officeDocument/2006/relationships" name="Field Guide" sheetId="5" r:id="R84df7e5cb7874591"/>
    <x:sheet xmlns:r="http://schemas.openxmlformats.org/officeDocument/2006/relationships" name="Bilingual Names" sheetId="6" r:id="R7826ceccb15945ae"/>
  </x:sheets>
</x:workbook>
</file>

<file path=xl/sharedStrings.xml><?xml version="1.0" encoding="utf-8"?>
<x:sst xmlns:x="http://schemas.openxmlformats.org/spreadsheetml/2006/main">
  <x:si>
    <x:t xml:space="preserve">Format</x:t>
  </x:si>
  <x:si>
    <x:t xml:space="preserve">Week</x:t>
  </x:si>
  <x:si>
    <x:t xml:space="preserve">Recovery Scope</x:t>
  </x:si>
  <x:si>
    <x:t xml:space="preserve">Top Copy Review</x:t>
  </x:si>
  <x:si>
    <x:t xml:space="preserve">Feature Review</x:t>
  </x:si>
  <x:si>
    <x:t xml:space="preserve">Chinese Copy Review</x:t>
  </x:si>
  <x:si>
    <x:t xml:space="preserve">Bilingual Name Review</x:t>
  </x:si>
  <x:si>
    <x:t xml:space="preserve">English Review</x:t>
  </x:si>
  <x:si>
    <x:t xml:space="preserve">Owner Notes</x:t>
  </x:si>
  <x:si>
    <x:t xml:space="preserve">standard</x:t>
  </x:si>
  <x:si>
    <x:t xml:space="preserve">2026-W27</x:t>
  </x:si>
  <x:si>
    <x:t xml:space="preserve">1 existing featured deck; feature recovery only</x:t>
  </x:si>
  <x:si>
    <x:t xml:space="preserve">NOT APPLICABLE</x:t>
  </x:si>
  <x:si>
    <x:t xml:space="preserve">2026-W33</x:t>
  </x:si>
  <x:si>
    <x:t xml:space="preserve">9 preserved top-copy rows; 14 mandatory top-copy feature decks plus 1 extra feature</x:t>
  </x:si>
  <x:si>
    <x:t xml:space="preserve">modern</x:t>
  </x:si>
  <x:si>
    <x:t xml:space="preserve">2 preserved top-copy rows; 2 mandatory top-copy feature decks</x:t>
  </x:si>
  <x:si>
    <x:t xml:space="preserve">Workbook Checks</x:t>
  </x:si>
  <x:si>
    <x:t xml:space="preserve">Metric</x:t>
  </x:si>
  <x:si>
    <x:t xml:space="preserve">Result</x:t>
  </x:si>
  <x:si>
    <x:t xml:space="preserve">Meaning</x:t>
  </x:si>
  <x:si>
    <x:t xml:space="preserve">KEEP top-copy rows</x:t>
  </x:si>
  <x:si>
    <x:t xml:space="preserve">Landing Copy 中将保留的段落数</x:t>
  </x:si>
  <x:si>
    <x:t xml:space="preserve">KEEP featured decks</x:t>
  </x:si>
  <x:si>
    <x:t xml:space="preserve">Featured Decks 中当前保留的套牌数</x:t>
  </x:si>
  <x:si>
    <x:t xml:space="preserve">Featured rows needing Chinese input</x:t>
  </x:si>
  <x:si>
    <x:t xml:space="preserve">选中的精选套牌仍缺类别、中文定位或四张代表单卡</x:t>
  </x:si>
  <x:si>
    <x:t xml:space="preserve">Current-week Top 8 rows</x:t>
  </x:si>
  <x:si>
    <x:t xml:space="preserve">All Top 8 中可供追加的 W33 八强牌表数</x:t>
  </x:si>
  <x:si>
    <x:t xml:space="preserve">Bilingual names awaiting approval</x:t>
  </x:si>
  <x:si>
    <x:t xml:space="preserve">全部 323 个父类别 / 子类别身份中尚未 APPROVED 的中文名称数</x:t>
  </x:si>
  <x:si>
    <x:t xml:space="preserve">P12-15B · Landing Copy · preserved owner text and corrected Modern order</x:t>
  </x:si>
  <x:si>
    <x:t xml:space="preserve">只有 KEEP 行进入 Landing 顶端文字；按 Format 分组后依 Order 排序。正文中的精确 deck:xxxxxxxxxxxxxxxxxxxx 标记由后续导入器按当前语言替换为显示文字与链接，句子其余部分保持普通文本。下方参考区已在本工作表内列出所有现有精选套牌与正文链接。</x:t>
  </x:si>
  <x:si>
    <x:t xml:space="preserve">Review Result</x:t>
  </x:si>
  <x:si>
    <x:t xml:space="preserve">Order</x:t>
  </x:si>
  <x:si>
    <x:t xml:space="preserve">Chinese Copy</x:t>
  </x:si>
  <x:si>
    <x:t xml:space="preserve">English Draft</x:t>
  </x:si>
  <x:si>
    <x:t xml:space="preserve">English Final</x:t>
  </x:si>
  <x:si>
    <x:t xml:space="preserve">KEEP</x:t>
  </x:si>
  <x:si>
    <x:t xml:space="preserve">本周标准环境经历了两个变化：首先是上周的大禁牌（獾、蓝才能、奶奶）；然后HOB本周也进入了环境。不过相比之下HOB对环境的影响还是比较小的，主要还是禁牌的效果。</x:t>
  </x:si>
  <x:si>
    <x:t xml:space="preserve">The Standard metagame went through two changes this week: first, last week’s major bans (Badgermole Cub, Stormchaser’s Talent, and Gran-Gran); then HOB entered the format this week. HOB’s immediate impact has been relatively small, however, and the bans have been the much bigger factor.</x:t>
  </x:si>
  <x:si>
    <x:t xml:space="preserve">最显而易见的是上周还持续占据环境霸主地位的灵技套牌直接原地消失，组件一部分类似的投掷套牌也只剩一套。缺少了蓝才能飞去来这个最强配合之后类似思路的套牌强度确实是一落千丈。</x:t>
  </x:si>
  <x:si>
    <x:t xml:space="preserve">The most obvious result is that the Prowess deck that still dominated the format last week disappeared completely, while the Fling deck that shares some of its components was reduced to a single Top 8. Without the Stormchaser’s Talent and Boomerang Basics package—the strategy’s strongest interaction—decks built along similar lines have fallen off sharply.</x:t>
  </x:si>
  <x:si>
    <x:t xml:space="preserve">石板课在禁了奶奶之后，还以洁斯凯形态存在，并可以席卷两场。deck:0ef7de8666929e404c95 本来这个构筑其实就并不完全依赖奶奶，不过两场席卷的构筑都带了艺术家才能，第2章的减费效果一定程度上可以弥补失去奶奶之后的爆发力不足问题。</x:t>
  </x:si>
  <x:si>
    <x:t xml:space="preserve">Jeskai Lessons survived the Gran-Gran ban and even won two events. deck:0ef7de8666929e404c95 The archetype was never completely dependent on Gran-Gran to begin with, but both winning lists played Artist’s Talent. The cost reduction from its second chapter helps make up for some of the explosiveness lost with Gran-Gran.</x:t>
  </x:si>
  <x:si>
    <x:t xml:space="preserve">而禁牌后第一周的最大赢家暂时是纯绿地落和蓝黑中速，并列高胜占比第一，而且八强占比也分列前二。地落用什么填补獾的位置暂时还没有定论，这四个位置其实对套牌强度的影响不算太大。席卷的版本一个是用了鼹鼠人和比利：deck:113f08b5c4dcc7b5e1ce；另一套2费Ramp同根共生和小浣熊锐目鉴物客：deck:3b20a57979ef845780d2</x:t>
  </x:si>
  <x:si>
    <x:t xml:space="preserve">The early winners of the first post-ban week are Mono-Green Landfall and Dimir Midrange. They are tied for first in high-score share and also rank first and second in Top 8 share. Landfall has not settled on a replacement for Badgermole Cub, and in practice those four slots do not appear to matter very much to the deck’s overall strength. One winning list used Mole Man, Moloid Master and Bristly Bill, Spine Sower: deck:113f08b5c4dcc7b5e1ce; the other used the two-mana ramp spell Shared Roots alongside Keen-Eyed Curator: deck:3b20a57979ef845780d2</x:t>
  </x:si>
  <x:si>
    <x:t xml:space="preserve">而蓝黑中速其实在上个环境末期，加入了黄蜂女和新的2费康之后，就有一点点复苏的趋势，经历了一个无伤禁牌表后彻底复活：deck:6552a16bef7fa5293b5d。另外还有一个满编萨克维尔巴金斯家族，并携带群袭智者配合的版本拿下八强：deck:cf1060bd38d38c8f161f</x:t>
  </x:si>
  <x:si>
    <x:t xml:space="preserve">Dimir Midrange had already begun to show signs of recovery late in the previous metagame after adding The Wondrous Wasp and the new two-mana counterspell We Say Thee Nay! After passing through the ban announcement untouched, it has now made a full comeback: deck:6552a16bef7fa5293b5d. Another Top 8 list maxed out on The Sackville-Bagginses and paired it with Infestation Sage: deck:cf1060bd38d38c8f161f</x:t>
  </x:si>
  <x:si>
    <x:t xml:space="preserve">黑白回血近期也还算比较坚挺，本周席卷一场，不过是和之前构筑不太一样的满编召起过往的版本：deck:085fbae05701d25afeda</x:t>
  </x:si>
  <x:si>
    <x:t xml:space="preserve">Orzhov Lifegain has also remained fairly resilient. It won one event this week, but with a build that differs from previous versions by playing a full set of Raise the Past: deck:085fbae05701d25afeda</x:t>
  </x:si>
  <x:si>
    <x:t xml:space="preserve">其他HOB新牌方面，能在第一周进入环境的牌确实并不多。影响最大的应该是斯毛格，重新激活了龙部族套牌，红白龙（deck:a1ee1d77d2a2ebb3ff9d），纯红龙（deck:96749dc528008eb7a201）都有多个八强成绩。</x:t>
  </x:si>
  <x:si>
    <x:t xml:space="preserve">As for the other new HOB cards, very few managed to break into the format in the first week. Smaug the Magnificent appears to have had the biggest impact, reviving the Dragon tribal decks: both Boros Dragons (deck:a1ee1d77d2a2ebb3ff9d) and Mono-Red Dragons (deck:96749dc528008eb7a201) posted multiple Top 8 finishes.</x:t>
  </x:si>
  <x:si>
    <x:t xml:space="preserve">其他新牌就只有零星出现了。一套带了两个侧门钥匙的四色人类拿下一个亚军（deck:72768a4ea7b144822c74）；满编老迈异常的鸟的蓝白救援取得八强（deck:492b0e40d4a2f0bdc168）；携带两个劫掠食人妖森林的洁斯凯石板拿下八强（deck:3e9daa72448ce4e0b276）；还有一个混红带红蓝围攻的洁斯凯模模带了两张鹰王同样取得八强（deck:1eedf5459507770b0502）。</x:t>
  </x:si>
  <x:si>
    <x:t xml:space="preserve">Other new cards appeared only sporadically. A Five-Color Humans list with two copies of Key to the Side-Door finished second (deck:72768a4ea7b144822c74); an Azorius Oculus list maxing out on Most Decrepit Old Bird reached the Top 8 (deck:492b0e40d4a2f0bdc168); a Jeskai Tablet list with two copies of Plunder the Trollshaws also made the Top 8 (deck:3e9daa72448ce4e0b276); and a red-splash Jeskai Momo list using Frostcliff Siege and two copies of The Lord of the Eagles reached the Top 8 as well (deck:1eedf5459507770b0502).</x:t>
  </x:si>
  <x:si>
    <x:t xml:space="preserve">格利极石板控制思路首次进入八强：deck:96b30d5e076425e95de6。不是HOB的新科技，而是用非凡龙配合炸地的格利极版本石板套牌。基本思路还是石板控，不过相比以往石板控ramp出大招的思路，这套牌更偏控场和炸地。自由的代价和复仇者解散在非凡龙站场的情况下都可以直接炸两块地，同时扫场扫6非凡龙加豆还不会死。不过相比传统石板控的洁斯凯启示，这个终端在现环境下并没有特别强力。</x:t>
  </x:si>
  <x:si>
    <x:t xml:space="preserve">A Grixis Tablet control shell reached the Top 8 for the first time: deck:96b30d5e076425e95de6. This was not a new piece of HOB technology, but a Grixis Tablet build that combines Fin Fang Foom with land destruction. The core is still Tablet Control, but instead of ramping toward a large finisher like earlier builds, this list leans more heavily on board control and attacking mana. With Fin Fang Foom in play, both Price of Freedom and Avengers Disassembled can destroy two lands outright, while a six-damage sweeper leaves the Dragon alive and adds a counter to it. Compared with Jeskai Revelation, the traditional Tablet Control finisher, however, this endgame does not look especially powerful in the current field.</x:t>
  </x:si>
  <x:si>
    <x:t xml:space="preserve">HOB在摩登基本上没有任何存在感，整个周的八强套牌中只有一套红白能量带了1张贝拉多娜·图克：deck:ad346963fcf45a711737</x:t>
  </x:si>
  <x:si>
    <x:t xml:space="preserve">HOB had virtually no presence in Modern. Across the entire week’s Top 8 lists, only a single Boros Energy deck played even one copy of Belladonna Took: deck:ad346963fcf45a711737</x:t>
  </x:si>
  <x:si>
    <x:t xml:space="preserve">本周摩登有一场超级RCQ，301人参加，最终由洁斯凯能量席卷：deck:af10094d2257be87dcfd。另外三个资格由藤蔓石椁、黑绿死冥、红蓝灵技拿到。八强也是八套牌，充分体现了现在摩登的混战局面。自从上次禁牌之后，有几周艾斯波怨灵短暂超过10%占比，但按四周区间平均，没有一套牌能做到这一点。</x:t>
  </x:si>
  <x:si>
    <x:t xml:space="preserve">This week’s Modern schedule included a 301-player Super RCQ, which was won by Jeskai Energy: deck:af10094d2257be87dcfd. The other three qualifications went to Hollowvine, Necrodominance, and Prowess. The Top 8 also featured eight different decks, underscoring just how open Modern currently is. Since the last ban announcement, Esper Goryo's briefly rose above 10% share in a few previous weeks, but no archetype has managed to average 10% across a four-week window.</x:t>
  </x:si>
  <x:si>
    <x:t xml:space="preserve">Deck references available in this sheet</x:t>
  </x:si>
  <x:si>
    <x:t xml:space="preserve">FEATURED 表示底部精选套牌；参考区按 Feature 的自动顺序排列。复制 Deck Link ID 到正文中想放链接的位置即可；正文中的每个 Deck Link ID 都必须同时保持为 KEEP Feature。</x:t>
  </x:si>
  <x:si>
    <x:t xml:space="preserve">Role</x:t>
  </x:si>
  <x:si>
    <x:t xml:space="preserve">Feature Week</x:t>
  </x:si>
  <x:si>
    <x:t xml:space="preserve">Chinese Display</x:t>
  </x:si>
  <x:si>
    <x:t xml:space="preserve">English Display</x:t>
  </x:si>
  <x:si>
    <x:t xml:space="preserve">Deck Page</x:t>
  </x:si>
  <x:si>
    <x:t xml:space="preserve">Event</x:t>
  </x:si>
  <x:si>
    <x:t xml:space="preserve">Date</x:t>
  </x:si>
  <x:si>
    <x:t xml:space="preserve">Rank</x:t>
  </x:si>
  <x:si>
    <x:t xml:space="preserve">Deck</x:t>
  </x:si>
  <x:si>
    <x:t xml:space="preserve">Player</x:t>
  </x:si>
  <x:si>
    <x:t xml:space="preserve">Deck Link ID</x:t>
  </x:si>
  <x:si>
    <x:t xml:space="preserve">FEATURED</x:t>
  </x:si>
  <x:si>
    <x:t xml:space="preserve">4-Color Tablet · _Batutinha_ · 第2名</x:t>
  </x:si>
  <x:si>
    <x:t xml:space="preserve">4-Color Tablet · _Batutinha_ · Rank 2</x:t>
  </x:si>
  <x:si>
    <x:t xml:space="preserve">https://jacelber.github.io/mtgo-data/index.html?format=standard&amp;product=mtgo-top8&amp;week=2026-W27&amp;detail=12846474%3A2&amp;lang=zh</x:t>
  </x:si>
  <x:si>
    <x:t xml:space="preserve">Standard Challenge 32 · 12846474</x:t>
  </x:si>
  <x:si>
    <x:t xml:space="preserve">2026-07-03</x:t>
  </x:si>
  <x:si>
    <x:t xml:space="preserve">4-Color Tablet</x:t>
  </x:si>
  <x:si>
    <x:t xml:space="preserve">_Batutinha_</x:t>
  </x:si>
  <x:si>
    <x:t xml:space="preserve">deck:b1b5dae4c06b9e421756</x:t>
  </x:si>
  <x:si>
    <x:t xml:space="preserve">Grixis Tablet · auzzie51 · 第3名</x:t>
  </x:si>
  <x:si>
    <x:t xml:space="preserve">Grixis Tablet · auzzie51 · Rank 3</x:t>
  </x:si>
  <x:si>
    <x:t xml:space="preserve">https://jacelber.github.io/mtgo-data/index.html?format=standard&amp;product=mtgo-top8&amp;week=2026-W33&amp;detail=12851659%3A3&amp;lang=zh</x:t>
  </x:si>
  <x:si>
    <x:t xml:space="preserve">Standard Challenge 32 · 12851659</x:t>
  </x:si>
  <x:si>
    <x:t xml:space="preserve">2026-08-15</x:t>
  </x:si>
  <x:si>
    <x:t xml:space="preserve">Grixis Tablet</x:t>
  </x:si>
  <x:si>
    <x:t xml:space="preserve">auzzie51</x:t>
  </x:si>
  <x:si>
    <x:t xml:space="preserve">deck:96b30d5e076425e95de6</x:t>
  </x:si>
  <x:si>
    <x:t xml:space="preserve">Jeskai Lessons · J_tekt · 第1名</x:t>
  </x:si>
  <x:si>
    <x:t xml:space="preserve">Jeskai Lessons · J_tekt · Rank 1</x:t>
  </x:si>
  <x:si>
    <x:t xml:space="preserve">https://jacelber.github.io/mtgo-data/index.html?format=standard&amp;product=mtgo-top8&amp;week=2026-W33&amp;detail=12851664%3A1&amp;lang=zh</x:t>
  </x:si>
  <x:si>
    <x:t xml:space="preserve">Standard Challenge 32 · 12851664</x:t>
  </x:si>
  <x:si>
    <x:t xml:space="preserve">Jeskai Lessons</x:t>
  </x:si>
  <x:si>
    <x:t xml:space="preserve">J_tekt</x:t>
  </x:si>
  <x:si>
    <x:t xml:space="preserve">deck:0ef7de8666929e404c95</x:t>
  </x:si>
  <x:si>
    <x:t xml:space="preserve">Mono-Green Landfall · Brasatore · 第1名</x:t>
  </x:si>
  <x:si>
    <x:t xml:space="preserve">Mono-Green Landfall · Brasatore · Rank 1</x:t>
  </x:si>
  <x:si>
    <x:t xml:space="preserve">https://jacelber.github.io/mtgo-data/index.html?format=standard&amp;product=mtgo-top8&amp;week=2026-W33&amp;detail=12851611%3A1&amp;lang=zh</x:t>
  </x:si>
  <x:si>
    <x:t xml:space="preserve">Standard Challenge 32 · 12851611</x:t>
  </x:si>
  <x:si>
    <x:t xml:space="preserve">2026-08-11</x:t>
  </x:si>
  <x:si>
    <x:t xml:space="preserve">Mono-Green Landfall</x:t>
  </x:si>
  <x:si>
    <x:t xml:space="preserve">Brasatore</x:t>
  </x:si>
  <x:si>
    <x:t xml:space="preserve">deck:113f08b5c4dcc7b5e1ce</x:t>
  </x:si>
  <x:si>
    <x:t xml:space="preserve">Mono-Green Landfall · Scorpion100 · 第1名</x:t>
  </x:si>
  <x:si>
    <x:t xml:space="preserve">Mono-Green Landfall · Scorpion100 · Rank 1</x:t>
  </x:si>
  <x:si>
    <x:t xml:space="preserve">https://jacelber.github.io/mtgo-data/index.html?format=standard&amp;product=mtgo-top8&amp;week=2026-W33&amp;detail=12851684%3A1&amp;lang=zh</x:t>
  </x:si>
  <x:si>
    <x:t xml:space="preserve">Standard Challenge 32 · 12851684</x:t>
  </x:si>
  <x:si>
    <x:t xml:space="preserve">2026-08-16</x:t>
  </x:si>
  <x:si>
    <x:t xml:space="preserve">Scorpion100</x:t>
  </x:si>
  <x:si>
    <x:t xml:space="preserve">deck:3b20a57979ef845780d2</x:t>
  </x:si>
  <x:si>
    <x:t xml:space="preserve">Dimir Midrange · claudioh · 第1名</x:t>
  </x:si>
  <x:si>
    <x:t xml:space="preserve">Dimir Midrange · claudioh · Rank 1</x:t>
  </x:si>
  <x:si>
    <x:t xml:space="preserve">https://jacelber.github.io/mtgo-data/index.html?format=standard&amp;product=mtgo-top8&amp;week=2026-W33&amp;detail=12851641%3A1&amp;lang=zh</x:t>
  </x:si>
  <x:si>
    <x:t xml:space="preserve">Standard Challenge 32 · 12851641</x:t>
  </x:si>
  <x:si>
    <x:t xml:space="preserve">2026-08-14</x:t>
  </x:si>
  <x:si>
    <x:t xml:space="preserve">Dimir Midrange</x:t>
  </x:si>
  <x:si>
    <x:t xml:space="preserve">claudioh</x:t>
  </x:si>
  <x:si>
    <x:t xml:space="preserve">deck:6552a16bef7fa5293b5d</x:t>
  </x:si>
  <x:si>
    <x:t xml:space="preserve">Dimir Midrange · unagieel · 第5名</x:t>
  </x:si>
  <x:si>
    <x:t xml:space="preserve">Dimir Midrange · unagieel · Rank 5</x:t>
  </x:si>
  <x:si>
    <x:t xml:space="preserve">https://jacelber.github.io/mtgo-data/index.html?format=standard&amp;product=mtgo-top8&amp;week=2026-W33&amp;detail=12851659%3A5&amp;lang=zh</x:t>
  </x:si>
  <x:si>
    <x:t xml:space="preserve">unagieel</x:t>
  </x:si>
  <x:si>
    <x:t xml:space="preserve">deck:cf1060bd38d38c8f161f</x:t>
  </x:si>
  <x:si>
    <x:t xml:space="preserve">Orzhov Lifegain · Traft · 第1名</x:t>
  </x:si>
  <x:si>
    <x:t xml:space="preserve">Orzhov Lifegain · Traft · Rank 1</x:t>
  </x:si>
  <x:si>
    <x:t xml:space="preserve">https://jacelber.github.io/mtgo-data/index.html?format=standard&amp;product=mtgo-top8&amp;week=2026-W33&amp;detail=12851651%3A1&amp;lang=zh</x:t>
  </x:si>
  <x:si>
    <x:t xml:space="preserve">Standard Challenge 32 · 12851651</x:t>
  </x:si>
  <x:si>
    <x:t xml:space="preserve">Orzhov Lifegain</x:t>
  </x:si>
  <x:si>
    <x:t xml:space="preserve">Traft</x:t>
  </x:si>
  <x:si>
    <x:t xml:space="preserve">deck:085fbae05701d25afeda</x:t>
  </x:si>
  <x:si>
    <x:t xml:space="preserve">Boros Dragons · IronBeagle · 第3名</x:t>
  </x:si>
  <x:si>
    <x:t xml:space="preserve">Boros Dragons · IronBeagle · Rank 3</x:t>
  </x:si>
  <x:si>
    <x:t xml:space="preserve">https://jacelber.github.io/mtgo-data/index.html?format=standard&amp;product=mtgo-top8&amp;week=2026-W33&amp;detail=12851651%3A3&amp;lang=zh</x:t>
  </x:si>
  <x:si>
    <x:t xml:space="preserve">Boros Dragons</x:t>
  </x:si>
  <x:si>
    <x:t xml:space="preserve">IronBeagle</x:t>
  </x:si>
  <x:si>
    <x:t xml:space="preserve">deck:a1ee1d77d2a2ebb3ff9d</x:t>
  </x:si>
  <x:si>
    <x:t xml:space="preserve">Mono-Red Dragons · SpockVidaLoka · 第5名</x:t>
  </x:si>
  <x:si>
    <x:t xml:space="preserve">Mono-Red Dragons · SpockVidaLoka · Rank 5</x:t>
  </x:si>
  <x:si>
    <x:t xml:space="preserve">https://jacelber.github.io/mtgo-data/index.html?format=standard&amp;product=mtgo-top8&amp;week=2026-W33&amp;detail=12851651%3A5&amp;lang=zh</x:t>
  </x:si>
  <x:si>
    <x:t xml:space="preserve">Mono-Red Dragons</x:t>
  </x:si>
  <x:si>
    <x:t xml:space="preserve">SpockVidaLoka</x:t>
  </x:si>
  <x:si>
    <x:t xml:space="preserve">deck:96749dc528008eb7a201</x:t>
  </x:si>
  <x:si>
    <x:t xml:space="preserve">Five-Color Humans · burnet7 · 第2名</x:t>
  </x:si>
  <x:si>
    <x:t xml:space="preserve">Five-Color Humans · burnet7 · Rank 2</x:t>
  </x:si>
  <x:si>
    <x:t xml:space="preserve">https://jacelber.github.io/mtgo-data/index.html?format=standard&amp;product=mtgo-top8&amp;week=2026-W33&amp;detail=12851628%3A2&amp;lang=zh</x:t>
  </x:si>
  <x:si>
    <x:t xml:space="preserve">Standard Challenge 32 · 12851628</x:t>
  </x:si>
  <x:si>
    <x:t xml:space="preserve">2026-08-13</x:t>
  </x:si>
  <x:si>
    <x:t xml:space="preserve">Five-Color Humans</x:t>
  </x:si>
  <x:si>
    <x:t xml:space="preserve">burnet7</x:t>
  </x:si>
  <x:si>
    <x:t xml:space="preserve">deck:72768a4ea7b144822c74</x:t>
  </x:si>
  <x:si>
    <x:t xml:space="preserve">Azorius Oculus · Thief_Of_Crowns · 第7名</x:t>
  </x:si>
  <x:si>
    <x:t xml:space="preserve">Azorius Oculus · Thief_Of_Crowns · Rank 7</x:t>
  </x:si>
  <x:si>
    <x:t xml:space="preserve">https://jacelber.github.io/mtgo-data/index.html?format=standard&amp;product=mtgo-top8&amp;week=2026-W33&amp;detail=12851651%3A7&amp;lang=zh</x:t>
  </x:si>
  <x:si>
    <x:t xml:space="preserve">Azorius Oculus</x:t>
  </x:si>
  <x:si>
    <x:t xml:space="preserve">Thief_Of_Crowns</x:t>
  </x:si>
  <x:si>
    <x:t xml:space="preserve">deck:492b0e40d4a2f0bdc168</x:t>
  </x:si>
  <x:si>
    <x:t xml:space="preserve">Jeskai Tablet · _VFS_ · 第8名</x:t>
  </x:si>
  <x:si>
    <x:t xml:space="preserve">Jeskai Tablet · _VFS_ · Rank 8</x:t>
  </x:si>
  <x:si>
    <x:t xml:space="preserve">https://jacelber.github.io/mtgo-data/index.html?format=standard&amp;product=mtgo-top8&amp;week=2026-W33&amp;detail=12851628%3A8&amp;lang=zh</x:t>
  </x:si>
  <x:si>
    <x:t xml:space="preserve">Jeskai Tablet</x:t>
  </x:si>
  <x:si>
    <x:t xml:space="preserve">_VFS_</x:t>
  </x:si>
  <x:si>
    <x:t xml:space="preserve">deck:3e9daa72448ce4e0b276</x:t>
  </x:si>
  <x:si>
    <x:t xml:space="preserve">Jeskai Momo · olbeda · 第6名</x:t>
  </x:si>
  <x:si>
    <x:t xml:space="preserve">Jeskai Momo · olbeda · Rank 6</x:t>
  </x:si>
  <x:si>
    <x:t xml:space="preserve">https://jacelber.github.io/mtgo-data/index.html?format=standard&amp;product=mtgo-top8&amp;week=2026-W33&amp;detail=12851684%3A6&amp;lang=zh</x:t>
  </x:si>
  <x:si>
    <x:t xml:space="preserve">Jeskai Momo</x:t>
  </x:si>
  <x:si>
    <x:t xml:space="preserve">olbeda</x:t>
  </x:si>
  <x:si>
    <x:t xml:space="preserve">deck:1eedf5459507770b0502</x:t>
  </x:si>
  <x:si>
    <x:t xml:space="preserve">Selesnya Landfall · fried-liver-attack · 第7名</x:t>
  </x:si>
  <x:si>
    <x:t xml:space="preserve">Selesnya Landfall · fried-liver-attack · Rank 7</x:t>
  </x:si>
  <x:si>
    <x:t xml:space="preserve">https://jacelber.github.io/mtgo-data/index.html?format=standard&amp;product=mtgo-top8&amp;week=2026-W33&amp;detail=12851628%3A7&amp;lang=zh</x:t>
  </x:si>
  <x:si>
    <x:t xml:space="preserve">Selesnya Landfall</x:t>
  </x:si>
  <x:si>
    <x:t xml:space="preserve">fried-liver-attack</x:t>
  </x:si>
  <x:si>
    <x:t xml:space="preserve">deck:8b76fae6e748885f7135</x:t>
  </x:si>
  <x:si>
    <x:t xml:space="preserve">Jeskai Energy · TrueHero · 第1名</x:t>
  </x:si>
  <x:si>
    <x:t xml:space="preserve">Jeskai Energy · TrueHero · Rank 1</x:t>
  </x:si>
  <x:si>
    <x:t xml:space="preserve">https://jacelber.github.io/mtgo-data/index.html?format=modern&amp;product=mtgo-top8&amp;week=2026-W33&amp;detail=12851608%3A1&amp;lang=zh</x:t>
  </x:si>
  <x:si>
    <x:t xml:space="preserve">Modern RC Super Qualifier · 12851608</x:t>
  </x:si>
  <x:si>
    <x:t xml:space="preserve">Jeskai Energy</x:t>
  </x:si>
  <x:si>
    <x:t xml:space="preserve">TrueHero</x:t>
  </x:si>
  <x:si>
    <x:t xml:space="preserve">deck:af10094d2257be87dcfd</x:t>
  </x:si>
  <x:si>
    <x:t xml:space="preserve">Boros Energy · fazparte · 第2名</x:t>
  </x:si>
  <x:si>
    <x:t xml:space="preserve">Boros Energy · fazparte · Rank 2</x:t>
  </x:si>
  <x:si>
    <x:t xml:space="preserve">https://jacelber.github.io/mtgo-data/index.html?format=modern&amp;product=mtgo-top8&amp;week=2026-W33&amp;detail=12851632%3A2&amp;lang=zh</x:t>
  </x:si>
  <x:si>
    <x:t xml:space="preserve">Modern Challenge 64 · 12851632</x:t>
  </x:si>
  <x:si>
    <x:t xml:space="preserve">Boros Energy</x:t>
  </x:si>
  <x:si>
    <x:t xml:space="preserve">fazparte</x:t>
  </x:si>
  <x:si>
    <x:t xml:space="preserve">deck:ad346963fcf45a711737</x:t>
  </x:si>
  <x:si>
    <x:t xml:space="preserve">P12-15C · Featured Decks · bilingual title and English copy review</x:t>
  </x:si>
  <x:si>
    <x:t xml:space="preserve">Feature 顺序继续由 Landing 顶端 KEEP 正文自动派生。Deck Name EN / ZH / Name Status 直接引用 Bilingual Names；黄色 Chinese Positioning、Featured Card 与 English Final 仍由用户最终确认。绿色 English Draft 是 Codex 试译，可完全改写。Y–AA 为只读分类器身份。</x:t>
  </x:si>
  <x:si>
    <x:t xml:space="preserve">Selection</x:t>
  </x:si>
  <x:si>
    <x:t xml:space="preserve">Category</x:t>
  </x:si>
  <x:si>
    <x:t xml:space="preserve">Deck Name EN</x:t>
  </x:si>
  <x:si>
    <x:t xml:space="preserve">Deck Name ZH</x:t>
  </x:si>
  <x:si>
    <x:t xml:space="preserve">Name Status</x:t>
  </x:si>
  <x:si>
    <x:t xml:space="preserve">Machine Reasons</x:t>
  </x:si>
  <x:si>
    <x:t xml:space="preserve">Chinese Positioning</x:t>
  </x:si>
  <x:si>
    <x:t xml:space="preserve">Featured Card 1</x:t>
  </x:si>
  <x:si>
    <x:t xml:space="preserve">Featured Card 2</x:t>
  </x:si>
  <x:si>
    <x:t xml:space="preserve">Featured Card 3</x:t>
  </x:si>
  <x:si>
    <x:t xml:space="preserve">Featured Card 4</x:t>
  </x:si>
  <x:si>
    <x:t xml:space="preserve">Main Deck</x:t>
  </x:si>
  <x:si>
    <x:t xml:space="preserve">Sideboard</x:t>
  </x:si>
  <x:si>
    <x:t xml:space="preserve">Chinese / Input Check</x:t>
  </x:si>
  <x:si>
    <x:t xml:space="preserve">English Check</x:t>
  </x:si>
  <x:si>
    <x:t xml:space="preserve">Parent ID</x:t>
  </x:si>
  <x:si>
    <x:t xml:space="preserve">Subtype ID</x:t>
  </x:si>
  <x:si>
    <x:t xml:space="preserve">Identity Key</x:t>
  </x:si>
  <x:si>
    <x:t xml:space="preserve">DROP</x:t>
  </x:si>
  <x:si>
    <x:t xml:space="preserve">new_technology</x:t>
  </x:si>
  <x:si>
    <x:t xml:space="preserve">旧版已发布 Pickup；legacy existing change；deviation=40</x:t>
  </x:si>
  <x:si>
    <x:t xml:space="preserve">33333</x:t>
  </x:si>
  <x:si>
    <x:t xml:space="preserve">3× Bleachbone Verge; 4× Blood Crypt; 2× Consult the Star Charts; 2× Deadly Cover-Up; 2× Duress; 2× Firebending Lesson; 2× Flashback; 4× Great Hall of the Biblioplex; 4× Inevitable Defeat; 4× Jeskai Revelation; 1× Mistrise Village; 2× Nowhere to Run; 1× Plains; 3× Riverpyre Verge; 2× Sacred Foundry; 2× Sear; 2× Shattered Sanctum; 2× Starting Town; 1× Steam Vents; 4× Stock Up; 2× Strategic Betrayal; 1× Swamp; 4× Tablet of Discovery; 2× Together as One; 2× Undercity Sewers</x:t>
  </x:si>
  <x:si>
    <x:t xml:space="preserve">1× Day of Black Sun; 2× Deadly Cover-Up; 1× Disdainful Stroke; 2× Duress; 2× Flashfreeze; 1× Mistrise Village; 1× Nowhere to Run; 1× Outrageous Robbery; 1× Pest Control; 2× Ral, Crackling Wit; 1× Return the Favor</x:t>
  </x:si>
  <x:si>
    <x:t xml:space="preserve">4-color-tablet</x:t>
  </x:si>
  <x:si>
    <x:t xml:space="preserve">standard|4-color-tablet|none</x:t>
  </x:si>
  <x:si>
    <x:t xml:space="preserve">new_deck</x:t>
  </x:si>
  <x:si>
    <x:t xml:space="preserve">新 Archetype</x:t>
  </x:si>
  <x:si>
    <x:t xml:space="preserve">格利极色组的石板控制，这个构组更偏向炸地思路，配合非凡龙。</x:t>
  </x:si>
  <x:si>
    <x:t xml:space="preserve">Avengers Disassembled</x:t>
  </x:si>
  <x:si>
    <x:t xml:space="preserve">Price of Freedom</x:t>
  </x:si>
  <x:si>
    <x:t xml:space="preserve">Fin Fang Foom</x:t>
  </x:si>
  <x:si>
    <x:t xml:space="preserve">Tablet of Discovery</x:t>
  </x:si>
  <x:si>
    <x:t xml:space="preserve">A Grixis Tablet control deck. This build leans more heavily on land destruction and pairs that plan with Fin Fang Foom.</x:t>
  </x:si>
  <x:si>
    <x:t xml:space="preserve">1× Abrade; 4× Avengers Disassembled; 3× Bitter Triumph; 4× Blazemire Verge; 4× Blood Crypt; 2× Consult the Star Charts; 2× Deadly Cover-Up; 2× Duress; 2× Fin Fang Foom; 1× Gloomlake Verge; 3× Great Hall of the Biblioplex; 1× Island; 1× Mountain; 2× Multiversal Passage; 1× Outrageous Robbery; 4× Price of Freedom; 3× Requiting Hex; 3× Steam Vents; 4× Stock Up; 1× Stormcarved Coast; 1× Swamp; 4× Tablet of Discovery; 2× Thor, God of Thunder; 1× Together as One; 4× Watery Grave</x:t>
  </x:si>
  <x:si>
    <x:t xml:space="preserve">1× Ancient Vendetta; 2× Day of Black Sun; 1× Deadly Cover-Up; 1× Duress; 1× Flashback; 2× Flashfreeze; 2× Ghost Vacuum; 1× Negate; 1× Outrageous Robbery; 1× Shoot the Sheriff; 2× Strategic Betrayal</x:t>
  </x:si>
  <x:si>
    <x:t xml:space="preserve">grixis-tablet</x:t>
  </x:si>
  <x:si>
    <x:t xml:space="preserve">standard|grixis-tablet|none</x:t>
  </x:si>
  <x:si>
    <x:t xml:space="preserve">Landing 顶端正文已引用该精确牌表；按 Owner 硬规则必须同时进入底部 Feature。Category 仍由 Owner 确认。</x:t>
  </x:si>
  <x:si>
    <x:t xml:space="preserve">石板课在禁了奶奶之后，还以洁斯凯形态存在，并可以席卷两场。该牌表使用艺术家才能弥补失去奶奶后的爆发力。</x:t>
  </x:si>
  <x:si>
    <x:t xml:space="preserve">Artist's Talent</x:t>
  </x:si>
  <x:si>
    <x:t xml:space="preserve">Jeskai Revelation</x:t>
  </x:si>
  <x:si>
    <x:t xml:space="preserve">Firebending Lesson</x:t>
  </x:si>
  <x:si>
    <x:t xml:space="preserve">Jeskai Lessons survived the Gran-Gran ban and won two events. This list uses Artist's Talent to restore some of the explosiveness lost with Gran-Gran.</x:t>
  </x:si>
  <x:si>
    <x:t xml:space="preserve">3× Abandon Attachments; 4× Accumulate Wisdom; 2× Avengers Disassembled; 4× Combustion Technique; 1× Sundown Pass; 4× Firebending Lesson; 4× Great Hall of the Biblioplex; 1× Three Steps Ahead; 4× Steam Vents; 4× Jeskai Revelation; 2× It'll Quench Ya!; 1× Island; 2× Petrified Hamlet; 1× Mountain; 3× Stock Up; 4× Tablet of Discovery; 2× Thor, God of Thunder; 2× Hallowed Fountain; 1× Iroh's Demonstration; 3× Riverpyre Verge; 4× Spirebluff Canal; 2× Artist's Talent; 1× Mistrise Village; 1× Spell Snare</x:t>
  </x:si>
  <x:si>
    <x:t xml:space="preserve">1× Disdainful Stroke; 1× Emeritus of Ideation; 1× Erode; 4× Price of Freedom; 3× Flashfreeze; 1× Negate; 1× Petrified Hamlet; 1× Fire Magic; 2× Wan Shi Tong, Librarian</x:t>
  </x:si>
  <x:si>
    <x:t xml:space="preserve">jeskai-lessons</x:t>
  </x:si>
  <x:si>
    <x:t xml:space="preserve">standard|jeskai-lessons|none</x:t>
  </x:si>
  <x:si>
    <x:t xml:space="preserve">禁牌后的纯绿地落席卷版本之一，用鼹鼠人和比利填补威威獭留下的位置。</x:t>
  </x:si>
  <x:si>
    <x:t xml:space="preserve">Mole Man, Moloid Master</x:t>
  </x:si>
  <x:si>
    <x:t xml:space="preserve">Bristly Bill, Spine Sower</x:t>
  </x:si>
  <x:si>
    <x:t xml:space="preserve">Earthbender Ascension</x:t>
  </x:si>
  <x:si>
    <x:t xml:space="preserve">Sazh's Chocobo</x:t>
  </x:si>
  <x:si>
    <x:t xml:space="preserve">One of the post-ban Mono-Green Landfall winners, using Mole Man, Moloid Master and Bristly Bill, Spine Sower to fill the slots left by Badgermole Cub.</x:t>
  </x:si>
  <x:si>
    <x:t xml:space="preserve">4× Ba Sing Se; 4× Esper Origins; 4× Escape Tunnel; 4× Fabled Passage; 4× Icetill Explorer; 2× Mole Man, Moloid Master; 4× Sazh's Chocobo; 14× Forest; 4× Mightform Harmonizer; 2× Sapling Nursery; 4× Earthbender Ascension; 2× Bristly Bill, Spine Sower; 4× Llanowar Elves; 4× Meltstrider's Resolve</x:t>
  </x:si>
  <x:si>
    <x:t xml:space="preserve">2× Surrak, Elusive Hunter; 4× Soul-Guide Lantern; 4× Mossborn Hydra; 1× Sapling Nursery; 4× Heritage Reclamation</x:t>
  </x:si>
  <x:si>
    <x:t xml:space="preserve">mono-green-landfall</x:t>
  </x:si>
  <x:si>
    <x:t xml:space="preserve">standard|mono-green-landfall|none</x:t>
  </x:si>
  <x:si>
    <x:t xml:space="preserve">禁牌后的纯绿地落席卷版本之一，用两费 Ramp 同根共生和锐目鉴物客填补威威獭留下的位置。</x:t>
  </x:si>
  <x:si>
    <x:t xml:space="preserve">Shared Roots</x:t>
  </x:si>
  <x:si>
    <x:t xml:space="preserve">Keen-Eyed Curator</x:t>
  </x:si>
  <x:si>
    <x:t xml:space="preserve">Another post-ban Mono-Green Landfall winner, using the two-mana ramp spell Shared Roots and Keen-Eyed Curator to fill the slots left by Badgermole Cub.</x:t>
  </x:si>
  <x:si>
    <x:t xml:space="preserve">3× Ba Sing Se; 4× Esper Origins; 4× Fabled Passage; 4× Icetill Explorer; 4× Escape Tunnel; 4× Earthbender Ascension; 1× Meltstrider's Resolve; 3× Mightform Harmonizer; 1× Royal Treatment; 1× Demolition Field; 4× Sazh's Chocobo; 2× Shared Roots; 1× Surrak, Elusive Hunter; 14× Forest; 2× Keen-Eyed Curator; 4× Llanowar Elves; 4× Sapling Nursery</x:t>
  </x:si>
  <x:si>
    <x:t xml:space="preserve">3× Torpor Orb; 1× Leatherhead, Swamp Stalker; 2× Meltstrider's Resolve; 2× Soul-Guide Lantern; 4× Mossborn Hydra; 2× Surrak, Elusive Hunter; 1× Keen-Eyed Curator</x:t>
  </x:si>
  <x:si>
    <x:t xml:space="preserve">占比大幅提升（自动阈值：较前四周平均 +5 个百分点）</x:t>
  </x:si>
  <x:si>
    <x:t xml:space="preserve">禁牌后重新回到环境顶端</x:t>
  </x:si>
  <x:si>
    <x:t xml:space="preserve">The Wondrous Wasp</x:t>
  </x:si>
  <x:si>
    <x:t xml:space="preserve">We Say Thee Nay!</x:t>
  </x:si>
  <x:si>
    <x:t xml:space="preserve">Dream Beavers</x:t>
  </x:si>
  <x:si>
    <x:t xml:space="preserve">Kaito, Bane of Nightmares</x:t>
  </x:si>
  <x:si>
    <x:t xml:space="preserve">Dimir Midrange returned to the top of the metagame after the bans.</x:t>
  </x:si>
  <x:si>
    <x:t xml:space="preserve">2× Bitter Triumph; 4× Dream Beavers; 4× Enduring Curiosity; 4× Floodpits Drowner; 4× Gloomlake Verge; 3× Hidden Lair; 5× Island; 4× Kaito, Bane of Nightmares; 4× Requiting Hex; 2× Restless Reef; 2× Shoot the Sheriff; 2× Soulstone Sanctuary; 1× Spell Pierce; 1× Spell Snare; 4× Spyglass Siren; 3× Swamp; 2× The Wondrous Wasp; 2× Tishana's Tidebinder; 1× Wan Shi Tong, Librarian; 4× Watery Grave; 2× We Say Thee Nay!</x:t>
  </x:si>
  <x:si>
    <x:t xml:space="preserve">2× Annul; 1× Disdainful Stroke; 4× Duress; 2× Flashfreeze; 2× Raven Eagle; 2× Strategic Betrayal; 1× The Ooze; 1× Wan Shi Tong, Librarian</x:t>
  </x:si>
  <x:si>
    <x:t xml:space="preserve">dimir-midrange</x:t>
  </x:si>
  <x:si>
    <x:t xml:space="preserve">standard|dimir-midrange|none</x:t>
  </x:si>
  <x:si>
    <x:t xml:space="preserve">新系列上线前两周使用新牌；构筑大幅变化</x:t>
  </x:si>
  <x:si>
    <x:t xml:space="preserve">满编The Sackville-Bagginses的蓝黑中速构筑，并加入了Infestation Sage进行配合。</x:t>
  </x:si>
  <x:si>
    <x:t xml:space="preserve">The Sackville-Bagginses</x:t>
  </x:si>
  <x:si>
    <x:t xml:space="preserve">Infestation Sage</x:t>
  </x:si>
  <x:si>
    <x:t xml:space="preserve">Enduring Curiosity</x:t>
  </x:si>
  <x:si>
    <x:t xml:space="preserve">A Dimir Midrange build with a full set of The Sackville-Bagginses, paired with Infestation Sage.</x:t>
  </x:si>
  <x:si>
    <x:t xml:space="preserve">2× Bitter Triumph; 4× Enduring Curiosity; 4× Floodpits Drowner; 4× Gloomlake Verge; 3× Hidden Lair; 4× Infestation Sage; 5× Island; 4× Kaito, Bane of Nightmares; 4× Requiting Hex; 2× Restless Reef; 2× Shoot the Sheriff; 2× Soulstone Sanctuary; 1× Spell Pierce; 4× Spyglass Siren; 3× Swamp; 4× The Sackville-Bagginses; 1× The Wondrous Wasp; 1× Wan Shi Tong, Librarian; 4× Watery Grave; 2× We Say Thee Nay!</x:t>
  </x:si>
  <x:si>
    <x:t xml:space="preserve">2× Annul; 1× Disdainful Stroke; 4× Duress; 2× Flashfreeze; 3× Strategic Betrayal; 2× The Ooze; 1× Wan Shi Tong, Librarian</x:t>
  </x:si>
  <x:si>
    <x:t xml:space="preserve">占比大幅提升（自动阈值：较前四周平均 +5 个百分点）；构筑大幅变化</x:t>
  </x:si>
  <x:si>
    <x:t xml:space="preserve">和之前构筑不同，是满编Raise the Past的版本。本周席卷一场。</x:t>
  </x:si>
  <x:si>
    <x:t xml:space="preserve">Raise the Past</x:t>
  </x:si>
  <x:si>
    <x:t xml:space="preserve">Resolute Reinforcements</x:t>
  </x:si>
  <x:si>
    <x:t xml:space="preserve">Amalia Benavides Aguirre</x:t>
  </x:si>
  <x:si>
    <x:t xml:space="preserve">Hinterland Sanctifier</x:t>
  </x:si>
  <x:si>
    <x:t xml:space="preserve">A different Orzhov Lifegain build featuring a full set of Raise the Past; it won an event this week.</x:t>
  </x:si>
  <x:si>
    <x:t xml:space="preserve">4× Amalia Benavides Aguirre; 2× Aunt May; 3× Bleachbone Verge; 4× Case of the Uneaten Feast; 4× Concealed Courtyard; 2× Dalkovan Encampment; 4× Godless Shrine; 2× Goldmeadow Nomad; 3× Haliya, Guided by Light; 4× Hinterland Sanctifier; 4× Lunar Convocation; 2× Moseo, Vein's New Dean; 3× Multiversal Passage; 6× Plains; 4× Raise the Past; 2× Resolute Reinforcements; 3× Starscape Cleric; 4× Voice of Victory</x:t>
  </x:si>
  <x:si>
    <x:t xml:space="preserve">2× Cathar Commando; 2× Dark Confidant; 3× Deep-Cavern Bat; 2× Erode; 2× Ghost Vacuum; 2× Kutzil's Flanker; 2× Requiting Hex</x:t>
  </x:si>
  <x:si>
    <x:t xml:space="preserve">orzhov-lifegain</x:t>
  </x:si>
  <x:si>
    <x:t xml:space="preserve">standard|orzhov-lifegain|none</x:t>
  </x:si>
  <x:si>
    <x:t xml:space="preserve">重回环境；新系列上线前两周使用新牌</x:t>
  </x:si>
  <x:si>
    <x:t xml:space="preserve">禁牌后重新回到环境，同时加入了Smaug</x:t>
  </x:si>
  <x:si>
    <x:t xml:space="preserve">Smaug the Magnificent</x:t>
  </x:si>
  <x:si>
    <x:t xml:space="preserve">Sarkhan, Dragon Ascendant</x:t>
  </x:si>
  <x:si>
    <x:t xml:space="preserve">Clarion Conqueror</x:t>
  </x:si>
  <x:si>
    <x:t xml:space="preserve">Nova Hellkite</x:t>
  </x:si>
  <x:si>
    <x:t xml:space="preserve">Boros Dragons returned after the bans, now with Smaug the Magnificent.</x:t>
  </x:si>
  <x:si>
    <x:t xml:space="preserve">3× Burst Lightning; 3× Cavern of Souls; 3× Clarion Conqueror; 1× Dragonhawk, Fate's Tempest; 1× Erode; 4× Inspiring Vantage; 2× Lorehold, the Historian; 4× Maelstrom of the Spirit Dragon; 4× Magmatic Hellkite; 4× Momo, Friendly Flier; 1× Monica Rambeau; 2× Mountain; 3× Multiversal Passage; 4× Nova Hellkite; 1× Plains; 4× Sacred Foundry; 4× Sarkhan, Dragon Ascendant; 3× Smaug the Magnificent; 3× Sunbillow Verge; 2× Twinmaw Stormbrood; 4× Voice of Victory</x:t>
  </x:si>
  <x:si>
    <x:t xml:space="preserve">3× Dawn's Truce; 1× Doorkeeper Thrull; 1× Erode; 4× Rest in Peace; 2× Seam Rip; 2× Sheltered by Ghosts; 2× Split Up</x:t>
  </x:si>
  <x:si>
    <x:t xml:space="preserve">boros-dragons</x:t>
  </x:si>
  <x:si>
    <x:t xml:space="preserve">standard|boros-dragons|none</x:t>
  </x:si>
  <x:si>
    <x:t xml:space="preserve">新系列上线前两周使用新牌；新 Archetype</x:t>
  </x:si>
  <x:si>
    <x:t xml:space="preserve">以前最开始曾经进入过环境的纯红龙也在Smaug加持之下出现，本周拿下多个八强。</x:t>
  </x:si>
  <x:si>
    <x:t xml:space="preserve">Magda, the Hoardmaster</x:t>
  </x:si>
  <x:si>
    <x:t xml:space="preserve">Mono-Red Dragons, an archetype that had briefly appeared earlier in the format, returned with Smaug the Magnificent and posted several Top 8 finishes this week.</x:t>
  </x:si>
  <x:si>
    <x:t xml:space="preserve">4× Burst Lightning; 2× Channeled Dragonfire; 4× Hired Claw; 2× Lightning Strike; 4× Magda, the Hoardmaster; 2× Magmatic Hellkite; 20× Mountain; 4× Nova Hellkite; 4× Sarkhan, Dragon Ascendant; 1× Scorching Shot; 2× Shock; 4× Smaug the Magnificent; 3× Soulstone Sanctuary; 2× Sunspine Lynx; 2× Taurean Mauler</x:t>
  </x:si>
  <x:si>
    <x:t xml:space="preserve">2× Ghost Vacuum; 4× Magebane Lizard; 1× Scorching Shot; 2× Sear; 2× Slagstorm; 2× Sunspine Lynx; 2× The Legend of Roku</x:t>
  </x:si>
  <x:si>
    <x:t xml:space="preserve">mono-red-dragons</x:t>
  </x:si>
  <x:si>
    <x:t xml:space="preserve">standard|mono-red-dragons|none</x:t>
  </x:si>
  <x:si>
    <x:t xml:space="preserve">新系列上线前两周使用新牌</x:t>
  </x:si>
  <x:si>
    <x:t xml:space="preserve">使用了新牌Key to the Side-Door</x:t>
  </x:si>
  <x:si>
    <x:t xml:space="preserve">Key to the Side-Door</x:t>
  </x:si>
  <x:si>
    <x:t xml:space="preserve">Aang, Swift Savior</x:t>
  </x:si>
  <x:si>
    <x:t xml:space="preserve">Celestial Reunion</x:t>
  </x:si>
  <x:si>
    <x:t xml:space="preserve">Arachne, Psionic Weaver</x:t>
  </x:si>
  <x:si>
    <x:t xml:space="preserve">A Five-Color Humans list featuring the new card Key to the Side-Door.</x:t>
  </x:si>
  <x:si>
    <x:t xml:space="preserve">3× Aang, Swift Savior; 1× Ademi of the Silkchutes; 3× Arachne, Psionic Weaver; 1× Bruce Banner; 1× Captain America, Super-Soldier; 4× Cavern of Souls; 3× Cecil, Dark Knight; 3× Celestial Reunion; 2× Cloak and Dagger, Entwined; 1× Elektra, Daughter of the Hand; 1× Forest; 2× Godless Shrine; 2× Hallowed Fountain; 1× Honest Rutstein; 2× Jennifer Walters; 1× Karai, Future of the Foot; 2× Key to the Side-Door; 1× King T'Challa; 1× Miles Morales; 1× Nick Fury, Agent of S.H.I.E.L.D.; 2× Overgrown Tomb; 1× Plains; 1× Practiced Offense; 4× Secluded Courtyard; 2× Serah Farron; 1× Spectacular Spider-Man; 4× Starting Town; 3× Temple Garden; 2× The Queen of Dale; 3× The Wondrous Wasp; 1× Zack Fair</x:t>
  </x:si>
  <x:si>
    <x:t xml:space="preserve">1× Chomping Changeling; 2× Dawn's Truce; 2× Mai, Scornful Striker; 1× Monica Rambeau; 1× Rest in Peace; 1× Settle the Wreckage; 1× Soul-Guide Lantern; 1× The Sentry, Golden Guardian; 2× Torpor Orb; 3× Winnowing</x:t>
  </x:si>
  <x:si>
    <x:t xml:space="preserve">five-color-humans</x:t>
  </x:si>
  <x:si>
    <x:t xml:space="preserve">standard|five-color-humans|none</x:t>
  </x:si>
  <x:si>
    <x:t xml:space="preserve">曾经的救援掘大眼套牌，本周加入HOB的Most Decrepit Old Bird和The Eagles Are Coming!后也重新回到环境。</x:t>
  </x:si>
  <x:si>
    <x:t xml:space="preserve">Abhorrent Oculus</x:t>
  </x:si>
  <x:si>
    <x:t xml:space="preserve">Helping Hand</x:t>
  </x:si>
  <x:si>
    <x:t xml:space="preserve">Most Decrepit Old Bird</x:t>
  </x:si>
  <x:si>
    <x:t xml:space="preserve">The Eagles Are Coming!</x:t>
  </x:si>
  <x:si>
    <x:t xml:space="preserve">A former Helping Hand/Oculus shell returned this week with the HOB cards Most Decrepit Old Bird and The Eagles Are Coming!</x:t>
  </x:si>
  <x:si>
    <x:t xml:space="preserve">1× Abandoned Air Temple; 4× Abhorrent Oculus; 1× Agna Qel'a; 4× Cosmogrand Zenith; 4× Floodfarm Verge; 4× Get Lost; 4× Hallowed Fountain; 4× Helping Hand; 4× Island; 2× Kiora, the Rising Tide; 4× Leonardo's Technique; 4× Meticulous Archive; 4× Most Decrepit Old Bird; 4× No More Lies; 4× Picklock Prankster; 4× Plains; 4× Practiced Offense</x:t>
  </x:si>
  <x:si>
    <x:t xml:space="preserve">2× Clarion Conqueror; 2× Erode; 3× Requisition Raid; 4× Spell Pierce; 2× Spell Snare; 2× The Eagles Are Coming!</x:t>
  </x:si>
  <x:si>
    <x:t xml:space="preserve">azorius-oculus</x:t>
  </x:si>
  <x:si>
    <x:t xml:space="preserve">standard|azorius-oculus|none</x:t>
  </x:si>
  <x:si>
    <x:t xml:space="preserve">使用了新牌Pllunder the Trollshaws</x:t>
  </x:si>
  <x:si>
    <x:t xml:space="preserve">Day of Judgment</x:t>
  </x:si>
  <x:si>
    <x:t xml:space="preserve">Plunder the Trollshaws</x:t>
  </x:si>
  <x:si>
    <x:t xml:space="preserve">A Jeskai Tablet list featuring the new card Plunder the Trollshaws.</x:t>
  </x:si>
  <x:si>
    <x:t xml:space="preserve">3× Broadside Barrage; 3× Day of Judgment; 4× Firebending Lesson; 1× Flashback; 4× Floodfarm Verge; 4× Hallowed Fountain; 1× Island; 4× Jeskai Revelation; 3× Mystic Monastery; 3× No More Lies; 3× North Wind Avatar; 1× Plains; 2× Plunder the Trollshaws; 4× Sacred Foundry; 3× Spell Snare; 4× Spirebluff Canal; 4× Steam Vents; 4× Stock Up; 2× Sundown Pass; 4× Tablet of Discovery</x:t>
  </x:si>
  <x:si>
    <x:t xml:space="preserve">1× Aurelia, the Warleader; 1× Avengers Disassembled; 1× Day of Judgment; 1× Emeritus of Ideation; 1× Erode; 1× Essence Scatter; 1× Flashfreeze; 1× Negate; 1× Petrified Hamlet; 1× Pyroclasm; 1× Rest in Peace; 1× Riverchurn Monument; 1× Seam Rip; 1× Soul-Guide Lantern; 1× Spell Pierce</x:t>
  </x:si>
  <x:si>
    <x:t xml:space="preserve">jeskai-tablet</x:t>
  </x:si>
  <x:si>
    <x:t xml:space="preserve">standard|jeskai-tablet|none</x:t>
  </x:si>
  <x:si>
    <x:t xml:space="preserve">使用了新牌The Lord of the Eagles</x:t>
  </x:si>
  <x:si>
    <x:t xml:space="preserve">Momo, Friendly Flier</x:t>
  </x:si>
  <x:si>
    <x:t xml:space="preserve">Quantum Riddler</x:t>
  </x:si>
  <x:si>
    <x:t xml:space="preserve">Frostcliff Siege</x:t>
  </x:si>
  <x:si>
    <x:t xml:space="preserve">The Lord of the Eagles</x:t>
  </x:si>
  <x:si>
    <x:t xml:space="preserve">A Jeskai Momo list featuring the new card The Lord of the Eagles.</x:t>
  </x:si>
  <x:si>
    <x:t xml:space="preserve">2× Abandoned Air Temple; 4× Daydream; 4× Floodfarm Verge; 3× Frostcliff Siege; 2× Haliya, Guided by Light; 4× Hallowed Fountain; 1× Island; 4× Momo, Friendly Flier; 3× Nurturing Pixie; 2× Parting Gust; 3× Plains; 4× Quantum Riddler; 2× Sacred Foundry; 4× Sage of the Skies; 2× Seam Rip; 2× Skycoach Conductor; 4× Springleaf Drum; 4× Starfield Shepherd; 4× Starting Town; 2× The Lord of the Eagles</x:t>
  </x:si>
  <x:si>
    <x:t xml:space="preserve">2× Avatar's Wrath; 3× Aven Interrupter; 2× Clarion Conqueror; 2× Glen Elendra Guardian; 4× Rest in Peace; 2× Seam Rip</x:t>
  </x:si>
  <x:si>
    <x:t xml:space="preserve">jeskai-momo</x:t>
  </x:si>
  <x:si>
    <x:t xml:space="preserve">standard|jeskai-momo|none</x:t>
  </x:si>
  <x:si>
    <x:t xml:space="preserve">构筑大幅变化</x:t>
  </x:si>
  <x:si>
    <x:t xml:space="preserve">白绿本周偏少，不过也使用了和纯绿类似的新组件</x:t>
  </x:si>
  <x:si>
    <x:t xml:space="preserve">Mossborn Hydra</x:t>
  </x:si>
  <x:si>
    <x:t xml:space="preserve">Selesnya Landfall had a small presence this week, but this list used new components similar to the Mono-Green builds.</x:t>
  </x:si>
  <x:si>
    <x:t xml:space="preserve">3× Ba Sing Se; 1× Bristly Bill, Spine Sower; 1× Demolition Field; 2× Dyadrine, Synthesis Amalgam; 4× Earthbender Ascension; 3× Erode; 4× Escape Tunnel; 4× Fabled Passage; 8× Forest; 4× Hushwood Verge; 4× Icetill Explorer; 1× Keen-Eyed Curator; 4× Llanowar Elves; 3× Mightform Harmonizer; 4× Mossborn Hydra; 2× Plains; 4× Sazh's Chocobo; 2× Shared Roots; 2× Snakeskin Veil</x:t>
  </x:si>
  <x:si>
    <x:t xml:space="preserve">1× Erode; 1× Leatherhead, Swamp Stalker; 1× Origin of Metalbending; 3× Rest in Peace; 2× Spectacular Tactics; 3× Surrak, Elusive Hunter; 2× Vivien Reid; 2× Voice of Victory</x:t>
  </x:si>
  <x:si>
    <x:t xml:space="preserve">selesnya-landfall</x:t>
  </x:si>
  <x:si>
    <x:t xml:space="preserve">standard|selesnya-landfall|none</x:t>
  </x:si>
  <x:si>
    <x:t xml:space="preserve">301 人 Modern 超级 RCQ 冠军洁斯凯能量；用于展示本周大型赛事的冠军构筑。</x:t>
  </x:si>
  <x:si>
    <x:t xml:space="preserve">Guide of Souls</x:t>
  </x:si>
  <x:si>
    <x:t xml:space="preserve">Ocelot Pride</x:t>
  </x:si>
  <x:si>
    <x:t xml:space="preserve">Ajani, Nacatl Pariah</x:t>
  </x:si>
  <x:si>
    <x:t xml:space="preserve">The winner of a 301-player Modern Super RCQ, included to showcase the champion's Jeskai Energy build from the week's largest event.</x:t>
  </x:si>
  <x:si>
    <x:t xml:space="preserve">4× Quantum Riddler; 3× Goblin Bombardment; 4× Flooded Strand; 1× Elegant Parlor; 4× Voice of Victory; 4× Ocelot Pride; 4× Ajani, Nacatl Pariah; 4× Guide of Souls; 2× Plains; 1× Meticulous Archive; 1× Mountain; 3× Ephemerate; 2× Hallowed Fountain; 4× Arid Mesa; 2× Sacred Foundry; 4× Ragavan, Nimble Pilferer; 4× Solitude; 1× Scalding Tarn; 2× Starfield Shepherd; 1× Steam Vents; 2× Thraben Charm; 1× Windswept Heath; 2× Dalkovan Encampment</x:t>
  </x:si>
  <x:si>
    <x:t xml:space="preserve">1× Orim's Chant; 2× Erode; 4× Consign to Memory; 2× Flusterstorm; 1× Containment Priest; 1× Spell Snare; 2× Wrath of the Skies; 2× Surgical Extraction</x:t>
  </x:si>
  <x:si>
    <x:t xml:space="preserve">jeskai-energy</x:t>
  </x:si>
  <x:si>
    <x:t xml:space="preserve">modern|jeskai-energy|none</x:t>
  </x:si>
  <x:si>
    <x:t xml:space="preserve">使用了新牌Belladonna Took</x:t>
  </x:si>
  <x:si>
    <x:t xml:space="preserve">Belladonna Took</x:t>
  </x:si>
  <x:si>
    <x:t xml:space="preserve">A Boros Energy list featuring the new card Belladonna Took.</x:t>
  </x:si>
  <x:si>
    <x:t xml:space="preserve">4× Ajani, Nacatl Pariah; 1× Arena of Glory; 4× Arid Mesa; 1× Belladonna Took; 1× Blood Moon; 1× Boromir, Warden of the Tower; 2× Dalkovan Encampment; 2× Elegant Parlor; 1× Fable of the Mirror-Breaker; 2× Flooded Strand; 4× Galvanic Discharge; 3× Goblin Bombardment; 4× Guide of Souls; 1× Mana Tithe; 2× Marsh Flats; 1× Mountain; 4× Ocelot Pride; 2× Plains; 2× Prismatic Ending; 3× Ragavan, Nimble Pilferer; 1× Ranger-Captain of Eos; 4× Sacred Foundry; 2× Seasoned Pyromancer; 1× Static Prison; 1× The Legend of Roku; 2× Thraben Charm; 2× Voice of Victory; 2× Windswept Heath</x:t>
  </x:si>
  <x:si>
    <x:t xml:space="preserve">1× Blood Moon; 1× Celestial Purge; 2× High Noon; 3× Obsidian Charmaw; 1× Orim's Chant; 2× Surgical Extraction; 2× Vexing Bauble; 1× Wear/Tear; 2× Wrath of the Skies</x:t>
  </x:si>
  <x:si>
    <x:t xml:space="preserve">boros-energy</x:t>
  </x:si>
  <x:si>
    <x:t xml:space="preserve">modern|boros-energy|none</x:t>
  </x:si>
  <x:si>
    <x:t xml:space="preserve">2026-W33 · All Top 8 · exact current-week decks for unrestricted additions</x:t>
  </x:si>
  <x:si>
    <x:t xml:space="preserve">需要把未预选的套牌加入底部 Feature 时，在 Add to Featured? 选择 ADD，并可在 Owner Note 写明用途。任何复制到 Landing 顶端正文的 Deck Link ID 必须同时加入 Featured Decks；其余蓝色栏为只读身份与链接。</x:t>
  </x:si>
  <x:si>
    <x:t xml:space="preserve">Add to Featured?</x:t>
  </x:si>
  <x:si>
    <x:t xml:space="preserve">Owner Note</x:t>
  </x:si>
  <x:si>
    <x:t xml:space="preserve">Standard Challenge 32 · 12851126</x:t>
  </x:si>
  <x:si>
    <x:t xml:space="preserve">2026-08-10</x:t>
  </x:si>
  <x:si>
    <x:t xml:space="preserve">Izzet Spellementals</x:t>
  </x:si>
  <x:si>
    <x:t xml:space="preserve">J0hnWick</x:t>
  </x:si>
  <x:si>
    <x:t xml:space="preserve">deck:90e395c2c8bbb985bfba</x:t>
  </x:si>
  <x:si>
    <x:t xml:space="preserve">Izzet Spellementals · J0hnWick · 第1名</x:t>
  </x:si>
  <x:si>
    <x:t xml:space="preserve">Izzet Spellementals · J0hnWick · Rank 1</x:t>
  </x:si>
  <x:si>
    <x:t xml:space="preserve">https://jacelber.github.io/mtgo-data/index.html?format=standard&amp;product=mtgo-top8&amp;week=2026-W33&amp;detail=12851126%3A1&amp;lang=zh</x:t>
  </x:si>
  <x:si>
    <x:t xml:space="preserve">Ignotus97</x:t>
  </x:si>
  <x:si>
    <x:t xml:space="preserve">deck:209049c348105941308c</x:t>
  </x:si>
  <x:si>
    <x:t xml:space="preserve">4-Color Tablet · Ignotus97 · 第2名</x:t>
  </x:si>
  <x:si>
    <x:t xml:space="preserve">4-Color Tablet · Ignotus97 · Rank 2</x:t>
  </x:si>
  <x:si>
    <x:t xml:space="preserve">https://jacelber.github.io/mtgo-data/index.html?format=standard&amp;product=mtgo-top8&amp;week=2026-W33&amp;detail=12851126%3A2&amp;lang=zh</x:t>
  </x:si>
  <x:si>
    <x:t xml:space="preserve">marceliiine</x:t>
  </x:si>
  <x:si>
    <x:t xml:space="preserve">deck:5640b1e530d5137536b0</x:t>
  </x:si>
  <x:si>
    <x:t xml:space="preserve">4-Color Tablet · marceliiine · 第3名</x:t>
  </x:si>
  <x:si>
    <x:t xml:space="preserve">4-Color Tablet · marceliiine · Rank 3</x:t>
  </x:si>
  <x:si>
    <x:t xml:space="preserve">https://jacelber.github.io/mtgo-data/index.html?format=standard&amp;product=mtgo-top8&amp;week=2026-W33&amp;detail=12851126%3A3&amp;lang=zh</x:t>
  </x:si>
  <x:si>
    <x:t xml:space="preserve">Sultai Reanimator</x:t>
  </x:si>
  <x:si>
    <x:t xml:space="preserve">P3SUS</x:t>
  </x:si>
  <x:si>
    <x:t xml:space="preserve">deck:6ea9d9a35ba5e424dc38</x:t>
  </x:si>
  <x:si>
    <x:t xml:space="preserve">Sultai Reanimator · P3SUS · 第4名</x:t>
  </x:si>
  <x:si>
    <x:t xml:space="preserve">Sultai Reanimator · P3SUS · Rank 4</x:t>
  </x:si>
  <x:si>
    <x:t xml:space="preserve">https://jacelber.github.io/mtgo-data/index.html?format=standard&amp;product=mtgo-top8&amp;week=2026-W33&amp;detail=12851126%3A4&amp;lang=zh</x:t>
  </x:si>
  <x:si>
    <x:t xml:space="preserve">Azorius Prison</x:t>
  </x:si>
  <x:si>
    <x:t xml:space="preserve">secr3tm0de</x:t>
  </x:si>
  <x:si>
    <x:t xml:space="preserve">deck:bf3cbab61a82c85024d1</x:t>
  </x:si>
  <x:si>
    <x:t xml:space="preserve">Azorius Prison · secr3tm0de · 第5名</x:t>
  </x:si>
  <x:si>
    <x:t xml:space="preserve">Azorius Prison · secr3tm0de · Rank 5</x:t>
  </x:si>
  <x:si>
    <x:t xml:space="preserve">https://jacelber.github.io/mtgo-data/index.html?format=standard&amp;product=mtgo-top8&amp;week=2026-W33&amp;detail=12851126%3A5&amp;lang=zh</x:t>
  </x:si>
  <x:si>
    <x:t xml:space="preserve">willjetz1323</x:t>
  </x:si>
  <x:si>
    <x:t xml:space="preserve">deck:5fbe1b00f0e584edb668</x:t>
  </x:si>
  <x:si>
    <x:t xml:space="preserve">Sultai Reanimator · willjetz1323 · 第6名</x:t>
  </x:si>
  <x:si>
    <x:t xml:space="preserve">Sultai Reanimator · willjetz1323 · Rank 6</x:t>
  </x:si>
  <x:si>
    <x:t xml:space="preserve">https://jacelber.github.io/mtgo-data/index.html?format=standard&amp;product=mtgo-top8&amp;week=2026-W33&amp;detail=12851126%3A6&amp;lang=zh</x:t>
  </x:si>
  <x:si>
    <x:t xml:space="preserve">hermanomlg</x:t>
  </x:si>
  <x:si>
    <x:t xml:space="preserve">deck:c1fd251082fe189fee23</x:t>
  </x:si>
  <x:si>
    <x:t xml:space="preserve">Dimir Midrange · hermanomlg · 第7名</x:t>
  </x:si>
  <x:si>
    <x:t xml:space="preserve">Dimir Midrange · hermanomlg · Rank 7</x:t>
  </x:si>
  <x:si>
    <x:t xml:space="preserve">https://jacelber.github.io/mtgo-data/index.html?format=standard&amp;product=mtgo-top8&amp;week=2026-W33&amp;detail=12851126%3A7&amp;lang=zh</x:t>
  </x:si>
  <x:si>
    <x:t xml:space="preserve">Dimir Excruciator</x:t>
  </x:si>
  <x:si>
    <x:t xml:space="preserve">VitorCarvalho01</x:t>
  </x:si>
  <x:si>
    <x:t xml:space="preserve">deck:bd430669d12653ca10bd</x:t>
  </x:si>
  <x:si>
    <x:t xml:space="preserve">Dimir Excruciator · VitorCarvalho01 · 第8名</x:t>
  </x:si>
  <x:si>
    <x:t xml:space="preserve">Dimir Excruciator · VitorCarvalho01 · Rank 8</x:t>
  </x:si>
  <x:si>
    <x:t xml:space="preserve">https://jacelber.github.io/mtgo-data/index.html?format=standard&amp;product=mtgo-top8&amp;week=2026-W33&amp;detail=12851126%3A8&amp;lang=zh</x:t>
  </x:si>
  <x:si>
    <x:t xml:space="preserve">HolaChico</x:t>
  </x:si>
  <x:si>
    <x:t xml:space="preserve">deck:474b92fc767c4cd6dd96</x:t>
  </x:si>
  <x:si>
    <x:t xml:space="preserve">Izzet Spellementals · HolaChico · 第2名</x:t>
  </x:si>
  <x:si>
    <x:t xml:space="preserve">Izzet Spellementals · HolaChico · Rank 2</x:t>
  </x:si>
  <x:si>
    <x:t xml:space="preserve">https://jacelber.github.io/mtgo-data/index.html?format=standard&amp;product=mtgo-top8&amp;week=2026-W33&amp;detail=12851611%3A2&amp;lang=zh</x:t>
  </x:si>
  <x:si>
    <x:t xml:space="preserve">7steamvents</x:t>
  </x:si>
  <x:si>
    <x:t xml:space="preserve">deck:69c0af88c87cdbe69bff</x:t>
  </x:si>
  <x:si>
    <x:t xml:space="preserve">Orzhov Lifegain · 7steamvents · 第3名</x:t>
  </x:si>
  <x:si>
    <x:t xml:space="preserve">Orzhov Lifegain · 7steamvents · Rank 3</x:t>
  </x:si>
  <x:si>
    <x:t xml:space="preserve">https://jacelber.github.io/mtgo-data/index.html?format=standard&amp;product=mtgo-top8&amp;week=2026-W33&amp;detail=12851611%3A3&amp;lang=zh</x:t>
  </x:si>
  <x:si>
    <x:t xml:space="preserve">optivial</x:t>
  </x:si>
  <x:si>
    <x:t xml:space="preserve">deck:45b90b392341cb190a36</x:t>
  </x:si>
  <x:si>
    <x:t xml:space="preserve">Mono-Green Landfall · optivial · 第4名</x:t>
  </x:si>
  <x:si>
    <x:t xml:space="preserve">Mono-Green Landfall · optivial · Rank 4</x:t>
  </x:si>
  <x:si>
    <x:t xml:space="preserve">https://jacelber.github.io/mtgo-data/index.html?format=standard&amp;product=mtgo-top8&amp;week=2026-W33&amp;detail=12851611%3A4&amp;lang=zh</x:t>
  </x:si>
  <x:si>
    <x:t xml:space="preserve">DB_MasonClark</x:t>
  </x:si>
  <x:si>
    <x:t xml:space="preserve">deck:dc7d47bbb34d06f4990f</x:t>
  </x:si>
  <x:si>
    <x:t xml:space="preserve">Mono-Green Landfall · DB_MasonClark · 第5名</x:t>
  </x:si>
  <x:si>
    <x:t xml:space="preserve">Mono-Green Landfall · DB_MasonClark · Rank 5</x:t>
  </x:si>
  <x:si>
    <x:t xml:space="preserve">https://jacelber.github.io/mtgo-data/index.html?format=standard&amp;product=mtgo-top8&amp;week=2026-W33&amp;detail=12851611%3A5&amp;lang=zh</x:t>
  </x:si>
  <x:si>
    <x:t xml:space="preserve">deck:cde273bf978c93d2327e</x:t>
  </x:si>
  <x:si>
    <x:t xml:space="preserve">Dimir Excruciator · VitorCarvalho01 · 第6名</x:t>
  </x:si>
  <x:si>
    <x:t xml:space="preserve">Dimir Excruciator · VitorCarvalho01 · Rank 6</x:t>
  </x:si>
  <x:si>
    <x:t xml:space="preserve">https://jacelber.github.io/mtgo-data/index.html?format=standard&amp;product=mtgo-top8&amp;week=2026-W33&amp;detail=12851611%3A6&amp;lang=zh</x:t>
  </x:si>
  <x:si>
    <x:t xml:space="preserve">simoneromarm</x:t>
  </x:si>
  <x:si>
    <x:t xml:space="preserve">deck:61db70977e142bb296f5</x:t>
  </x:si>
  <x:si>
    <x:t xml:space="preserve">Jeskai Lessons · simoneromarm · 第7名</x:t>
  </x:si>
  <x:si>
    <x:t xml:space="preserve">Jeskai Lessons · simoneromarm · Rank 7</x:t>
  </x:si>
  <x:si>
    <x:t xml:space="preserve">https://jacelber.github.io/mtgo-data/index.html?format=standard&amp;product=mtgo-top8&amp;week=2026-W33&amp;detail=12851611%3A7&amp;lang=zh</x:t>
  </x:si>
  <x:si>
    <x:t xml:space="preserve">Mardu Discard</x:t>
  </x:si>
  <x:si>
    <x:t xml:space="preserve">taldoitalo</x:t>
  </x:si>
  <x:si>
    <x:t xml:space="preserve">deck:1c79de094686216349fb</x:t>
  </x:si>
  <x:si>
    <x:t xml:space="preserve">Mardu Discard · taldoitalo · 第8名</x:t>
  </x:si>
  <x:si>
    <x:t xml:space="preserve">Mardu Discard · taldoitalo · Rank 8</x:t>
  </x:si>
  <x:si>
    <x:t xml:space="preserve">https://jacelber.github.io/mtgo-data/index.html?format=standard&amp;product=mtgo-top8&amp;week=2026-W33&amp;detail=12851611%3A8&amp;lang=zh</x:t>
  </x:si>
  <x:si>
    <x:t xml:space="preserve">Bolas299</x:t>
  </x:si>
  <x:si>
    <x:t xml:space="preserve">deck:bd9fe0d20aea3f286b48</x:t>
  </x:si>
  <x:si>
    <x:t xml:space="preserve">Jeskai Lessons · Bolas299 · 第1名</x:t>
  </x:si>
  <x:si>
    <x:t xml:space="preserve">Jeskai Lessons · Bolas299 · Rank 1</x:t>
  </x:si>
  <x:si>
    <x:t xml:space="preserve">https://jacelber.github.io/mtgo-data/index.html?format=standard&amp;product=mtgo-top8&amp;week=2026-W33&amp;detail=12851628%3A1&amp;lang=zh</x:t>
  </x:si>
  <x:si>
    <x:t xml:space="preserve">Mikebrav</x:t>
  </x:si>
  <x:si>
    <x:t xml:space="preserve">deck:5d5aa8dbba03b8edce79</x:t>
  </x:si>
  <x:si>
    <x:t xml:space="preserve">Izzet Spellementals · Mikebrav · 第3名</x:t>
  </x:si>
  <x:si>
    <x:t xml:space="preserve">Izzet Spellementals · Mikebrav · Rank 3</x:t>
  </x:si>
  <x:si>
    <x:t xml:space="preserve">https://jacelber.github.io/mtgo-data/index.html?format=standard&amp;product=mtgo-top8&amp;week=2026-W33&amp;detail=12851628%3A3&amp;lang=zh</x:t>
  </x:si>
  <x:si>
    <x:t xml:space="preserve">tchuco</x:t>
  </x:si>
  <x:si>
    <x:t xml:space="preserve">deck:4b4573fbf8a568101d7a</x:t>
  </x:si>
  <x:si>
    <x:t xml:space="preserve">Dimir Excruciator · tchuco · 第4名</x:t>
  </x:si>
  <x:si>
    <x:t xml:space="preserve">Dimir Excruciator · tchuco · Rank 4</x:t>
  </x:si>
  <x:si>
    <x:t xml:space="preserve">https://jacelber.github.io/mtgo-data/index.html?format=standard&amp;product=mtgo-top8&amp;week=2026-W33&amp;detail=12851628%3A4&amp;lang=zh</x:t>
  </x:si>
  <x:si>
    <x:t xml:space="preserve">ejk</x:t>
  </x:si>
  <x:si>
    <x:t xml:space="preserve">deck:9005578eec646702aadc</x:t>
  </x:si>
  <x:si>
    <x:t xml:space="preserve">Orzhov Lifegain · ejk · 第5名</x:t>
  </x:si>
  <x:si>
    <x:t xml:space="preserve">Orzhov Lifegain · ejk · Rank 5</x:t>
  </x:si>
  <x:si>
    <x:t xml:space="preserve">https://jacelber.github.io/mtgo-data/index.html?format=standard&amp;product=mtgo-top8&amp;week=2026-W33&amp;detail=12851628%3A5&amp;lang=zh</x:t>
  </x:si>
  <x:si>
    <x:t xml:space="preserve">Arianne</x:t>
  </x:si>
  <x:si>
    <x:t xml:space="preserve">deck:f5157d533c98ce58b263</x:t>
  </x:si>
  <x:si>
    <x:t xml:space="preserve">Mono-Green Landfall · Arianne · 第6名</x:t>
  </x:si>
  <x:si>
    <x:t xml:space="preserve">Mono-Green Landfall · Arianne · Rank 6</x:t>
  </x:si>
  <x:si>
    <x:t xml:space="preserve">https://jacelber.github.io/mtgo-data/index.html?format=standard&amp;product=mtgo-top8&amp;week=2026-W33&amp;detail=12851628%3A6&amp;lang=zh</x:t>
  </x:si>
  <x:si>
    <x:t xml:space="preserve">komattaman</x:t>
  </x:si>
  <x:si>
    <x:t xml:space="preserve">deck:08badfa0b66785042d8e</x:t>
  </x:si>
  <x:si>
    <x:t xml:space="preserve">Mardu Discard · komattaman · 第2名</x:t>
  </x:si>
  <x:si>
    <x:t xml:space="preserve">Mardu Discard · komattaman · Rank 2</x:t>
  </x:si>
  <x:si>
    <x:t xml:space="preserve">https://jacelber.github.io/mtgo-data/index.html?format=standard&amp;product=mtgo-top8&amp;week=2026-W33&amp;detail=12851641%3A2&amp;lang=zh</x:t>
  </x:si>
  <x:si>
    <x:t xml:space="preserve">Zonda</x:t>
  </x:si>
  <x:si>
    <x:t xml:space="preserve">deck:4514f615c43d30b7a931</x:t>
  </x:si>
  <x:si>
    <x:t xml:space="preserve">Mardu Discard · Zonda · 第3名</x:t>
  </x:si>
  <x:si>
    <x:t xml:space="preserve">Mardu Discard · Zonda · Rank 3</x:t>
  </x:si>
  <x:si>
    <x:t xml:space="preserve">https://jacelber.github.io/mtgo-data/index.html?format=standard&amp;product=mtgo-top8&amp;week=2026-W33&amp;detail=12851641%3A3&amp;lang=zh</x:t>
  </x:si>
  <x:si>
    <x:t xml:space="preserve">deck:d392e6913459236d2387</x:t>
  </x:si>
  <x:si>
    <x:t xml:space="preserve">https://jacelber.github.io/mtgo-data/index.html?format=standard&amp;product=mtgo-top8&amp;week=2026-W33&amp;detail=12851641%3A4&amp;lang=zh</x:t>
  </x:si>
  <x:si>
    <x:t xml:space="preserve">indianpancake</x:t>
  </x:si>
  <x:si>
    <x:t xml:space="preserve">deck:166be27eed9034c1c407</x:t>
  </x:si>
  <x:si>
    <x:t xml:space="preserve">Mono-Green Landfall · indianpancake · 第5名</x:t>
  </x:si>
  <x:si>
    <x:t xml:space="preserve">Mono-Green Landfall · indianpancake · Rank 5</x:t>
  </x:si>
  <x:si>
    <x:t xml:space="preserve">https://jacelber.github.io/mtgo-data/index.html?format=standard&amp;product=mtgo-top8&amp;week=2026-W33&amp;detail=12851641%3A5&amp;lang=zh</x:t>
  </x:si>
  <x:si>
    <x:t xml:space="preserve">deck:ac65a80127ccaea66f2c</x:t>
  </x:si>
  <x:si>
    <x:t xml:space="preserve">Mono-Red Dragons · SpockVidaLoka · 第6名</x:t>
  </x:si>
  <x:si>
    <x:t xml:space="preserve">Mono-Red Dragons · SpockVidaLoka · Rank 6</x:t>
  </x:si>
  <x:si>
    <x:t xml:space="preserve">https://jacelber.github.io/mtgo-data/index.html?format=standard&amp;product=mtgo-top8&amp;week=2026-W33&amp;detail=12851641%3A6&amp;lang=zh</x:t>
  </x:si>
  <x:si>
    <x:t xml:space="preserve">moreno13</x:t>
  </x:si>
  <x:si>
    <x:t xml:space="preserve">deck:9c674f14afe5292ceae2</x:t>
  </x:si>
  <x:si>
    <x:t xml:space="preserve">Mono-Green Landfall · moreno13 · 第7名</x:t>
  </x:si>
  <x:si>
    <x:t xml:space="preserve">Mono-Green Landfall · moreno13 · Rank 7</x:t>
  </x:si>
  <x:si>
    <x:t xml:space="preserve">https://jacelber.github.io/mtgo-data/index.html?format=standard&amp;product=mtgo-top8&amp;week=2026-W33&amp;detail=12851641%3A7&amp;lang=zh</x:t>
  </x:si>
  <x:si>
    <x:t xml:space="preserve">parasisnotcool</x:t>
  </x:si>
  <x:si>
    <x:t xml:space="preserve">deck:6d4c9bef31b5d6e21c7c</x:t>
  </x:si>
  <x:si>
    <x:t xml:space="preserve">Jeskai Lessons · parasisnotcool · 第8名</x:t>
  </x:si>
  <x:si>
    <x:t xml:space="preserve">Jeskai Lessons · parasisnotcool · Rank 8</x:t>
  </x:si>
  <x:si>
    <x:t xml:space="preserve">https://jacelber.github.io/mtgo-data/index.html?format=standard&amp;product=mtgo-top8&amp;week=2026-W33&amp;detail=12851641%3A8&amp;lang=zh</x:t>
  </x:si>
  <x:si>
    <x:t xml:space="preserve">HyPPeR</x:t>
  </x:si>
  <x:si>
    <x:t xml:space="preserve">deck:a72b6db97539175abbac</x:t>
  </x:si>
  <x:si>
    <x:t xml:space="preserve">Mono-Green Landfall · HyPPeR · 第2名</x:t>
  </x:si>
  <x:si>
    <x:t xml:space="preserve">Mono-Green Landfall · HyPPeR · Rank 2</x:t>
  </x:si>
  <x:si>
    <x:t xml:space="preserve">https://jacelber.github.io/mtgo-data/index.html?format=standard&amp;product=mtgo-top8&amp;week=2026-W33&amp;detail=12851651%3A2&amp;lang=zh</x:t>
  </x:si>
  <x:si>
    <x:t xml:space="preserve">Yoshi_</x:t>
  </x:si>
  <x:si>
    <x:t xml:space="preserve">deck:7d27a0cccc3191fc1670</x:t>
  </x:si>
  <x:si>
    <x:t xml:space="preserve">Mardu Discard · Yoshi_ · 第4名</x:t>
  </x:si>
  <x:si>
    <x:t xml:space="preserve">Mardu Discard · Yoshi_ · Rank 4</x:t>
  </x:si>
  <x:si>
    <x:t xml:space="preserve">https://jacelber.github.io/mtgo-data/index.html?format=standard&amp;product=mtgo-top8&amp;week=2026-W33&amp;detail=12851651%3A4&amp;lang=zh</x:t>
  </x:si>
  <x:si>
    <x:t xml:space="preserve">Kritik</x:t>
  </x:si>
  <x:si>
    <x:t xml:space="preserve">deck:3b5eb13e6a78d7d62632</x:t>
  </x:si>
  <x:si>
    <x:t xml:space="preserve">4-Color Tablet · Kritik · 第6名</x:t>
  </x:si>
  <x:si>
    <x:t xml:space="preserve">4-Color Tablet · Kritik · Rank 6</x:t>
  </x:si>
  <x:si>
    <x:t xml:space="preserve">https://jacelber.github.io/mtgo-data/index.html?format=standard&amp;product=mtgo-top8&amp;week=2026-W33&amp;detail=12851651%3A6&amp;lang=zh</x:t>
  </x:si>
  <x:si>
    <x:t xml:space="preserve">deck:974c63d6e89266ef8de8</x:t>
  </x:si>
  <x:si>
    <x:t xml:space="preserve">Dimir Midrange · hermanomlg · 第8名</x:t>
  </x:si>
  <x:si>
    <x:t xml:space="preserve">Dimir Midrange · hermanomlg · Rank 8</x:t>
  </x:si>
  <x:si>
    <x:t xml:space="preserve">https://jacelber.github.io/mtgo-data/index.html?format=standard&amp;product=mtgo-top8&amp;week=2026-W33&amp;detail=12851651%3A8&amp;lang=zh</x:t>
  </x:si>
  <x:si>
    <x:t xml:space="preserve">deck:26176272cbf5f8f8eb5c</x:t>
  </x:si>
  <x:si>
    <x:t xml:space="preserve">Mardu Discard · Zonda · 第1名</x:t>
  </x:si>
  <x:si>
    <x:t xml:space="preserve">Mardu Discard · Zonda · Rank 1</x:t>
  </x:si>
  <x:si>
    <x:t xml:space="preserve">https://jacelber.github.io/mtgo-data/index.html?format=standard&amp;product=mtgo-top8&amp;week=2026-W33&amp;detail=12851659%3A1&amp;lang=zh</x:t>
  </x:si>
  <x:si>
    <x:t xml:space="preserve">deck:376f1ea33379e5b9a15c</x:t>
  </x:si>
  <x:si>
    <x:t xml:space="preserve">Dimir Excruciator · VitorCarvalho01 · 第2名</x:t>
  </x:si>
  <x:si>
    <x:t xml:space="preserve">Dimir Excruciator · VitorCarvalho01 · Rank 2</x:t>
  </x:si>
  <x:si>
    <x:t xml:space="preserve">https://jacelber.github.io/mtgo-data/index.html?format=standard&amp;product=mtgo-top8&amp;week=2026-W33&amp;detail=12851659%3A2&amp;lang=zh</x:t>
  </x:si>
  <x:si>
    <x:t xml:space="preserve">eggybenny</x:t>
  </x:si>
  <x:si>
    <x:t xml:space="preserve">deck:d4b621222fd2fbe08e13</x:t>
  </x:si>
  <x:si>
    <x:t xml:space="preserve">Dimir Midrange · eggybenny · 第4名</x:t>
  </x:si>
  <x:si>
    <x:t xml:space="preserve">Dimir Midrange · eggybenny · Rank 4</x:t>
  </x:si>
  <x:si>
    <x:t xml:space="preserve">https://jacelber.github.io/mtgo-data/index.html?format=standard&amp;product=mtgo-top8&amp;week=2026-W33&amp;detail=12851659%3A4&amp;lang=zh</x:t>
  </x:si>
  <x:si>
    <x:t xml:space="preserve">TVAmaral</x:t>
  </x:si>
  <x:si>
    <x:t xml:space="preserve">deck:04bb4b10230d5565f6e2</x:t>
  </x:si>
  <x:si>
    <x:t xml:space="preserve">Mardu Discard · TVAmaral · 第6名</x:t>
  </x:si>
  <x:si>
    <x:t xml:space="preserve">Mardu Discard · TVAmaral · Rank 6</x:t>
  </x:si>
  <x:si>
    <x:t xml:space="preserve">https://jacelber.github.io/mtgo-data/index.html?format=standard&amp;product=mtgo-top8&amp;week=2026-W33&amp;detail=12851659%3A6&amp;lang=zh</x:t>
  </x:si>
  <x:si>
    <x:t xml:space="preserve">Beicodegeia</x:t>
  </x:si>
  <x:si>
    <x:t xml:space="preserve">deck:6a668531765e8986d034</x:t>
  </x:si>
  <x:si>
    <x:t xml:space="preserve">Dimir Midrange · Beicodegeia · 第7名</x:t>
  </x:si>
  <x:si>
    <x:t xml:space="preserve">Dimir Midrange · Beicodegeia · Rank 7</x:t>
  </x:si>
  <x:si>
    <x:t xml:space="preserve">https://jacelber.github.io/mtgo-data/index.html?format=standard&amp;product=mtgo-top8&amp;week=2026-W33&amp;detail=12851659%3A7&amp;lang=zh</x:t>
  </x:si>
  <x:si>
    <x:t xml:space="preserve">LucasG1ggs</x:t>
  </x:si>
  <x:si>
    <x:t xml:space="preserve">deck:d2404afcc601a6e0715d</x:t>
  </x:si>
  <x:si>
    <x:t xml:space="preserve">Mono-Green Landfall · LucasG1ggs · 第8名</x:t>
  </x:si>
  <x:si>
    <x:t xml:space="preserve">Mono-Green Landfall · LucasG1ggs · Rank 8</x:t>
  </x:si>
  <x:si>
    <x:t xml:space="preserve">https://jacelber.github.io/mtgo-data/index.html?format=standard&amp;product=mtgo-top8&amp;week=2026-W33&amp;detail=12851659%3A8&amp;lang=zh</x:t>
  </x:si>
  <x:si>
    <x:t xml:space="preserve">Venom01</x:t>
  </x:si>
  <x:si>
    <x:t xml:space="preserve">deck:b734085f85b9bffc9981</x:t>
  </x:si>
  <x:si>
    <x:t xml:space="preserve">4-Color Tablet · Venom01 · 第2名</x:t>
  </x:si>
  <x:si>
    <x:t xml:space="preserve">4-Color Tablet · Venom01 · Rank 2</x:t>
  </x:si>
  <x:si>
    <x:t xml:space="preserve">https://jacelber.github.io/mtgo-data/index.html?format=standard&amp;product=mtgo-top8&amp;week=2026-W33&amp;detail=12851664%3A2&amp;lang=zh</x:t>
  </x:si>
  <x:si>
    <x:t xml:space="preserve">Izzet Aggro</x:t>
  </x:si>
  <x:si>
    <x:t xml:space="preserve">deleon91</x:t>
  </x:si>
  <x:si>
    <x:t xml:space="preserve">deck:75c0fa6b71a36e854125</x:t>
  </x:si>
  <x:si>
    <x:t xml:space="preserve">Izzet Aggro · deleon91 · 第3名</x:t>
  </x:si>
  <x:si>
    <x:t xml:space="preserve">Izzet Aggro · deleon91 · Rank 3</x:t>
  </x:si>
  <x:si>
    <x:t xml:space="preserve">https://jacelber.github.io/mtgo-data/index.html?format=standard&amp;product=mtgo-top8&amp;week=2026-W33&amp;detail=12851664%3A3&amp;lang=zh</x:t>
  </x:si>
  <x:si>
    <x:t xml:space="preserve">deck:f74090139d81d8cfe4cc</x:t>
  </x:si>
  <x:si>
    <x:t xml:space="preserve">Boros Dragons · fazparte · 第4名</x:t>
  </x:si>
  <x:si>
    <x:t xml:space="preserve">Boros Dragons · fazparte · Rank 4</x:t>
  </x:si>
  <x:si>
    <x:t xml:space="preserve">https://jacelber.github.io/mtgo-data/index.html?format=standard&amp;product=mtgo-top8&amp;week=2026-W33&amp;detail=12851664%3A4&amp;lang=zh</x:t>
  </x:si>
  <x:si>
    <x:t xml:space="preserve">deck:1a708c6057f83ec6b4ef</x:t>
  </x:si>
  <x:si>
    <x:t xml:space="preserve">Boros Dragons · IronBeagle · 第5名</x:t>
  </x:si>
  <x:si>
    <x:t xml:space="preserve">Boros Dragons · IronBeagle · Rank 5</x:t>
  </x:si>
  <x:si>
    <x:t xml:space="preserve">https://jacelber.github.io/mtgo-data/index.html?format=standard&amp;product=mtgo-top8&amp;week=2026-W33&amp;detail=12851664%3A5&amp;lang=zh</x:t>
  </x:si>
  <x:si>
    <x:t xml:space="preserve">Strongmind</x:t>
  </x:si>
  <x:si>
    <x:t xml:space="preserve">deck:08fbac416039f1af12e7</x:t>
  </x:si>
  <x:si>
    <x:t xml:space="preserve">Dimir Midrange · Strongmind · 第6名</x:t>
  </x:si>
  <x:si>
    <x:t xml:space="preserve">Dimir Midrange · Strongmind · Rank 6</x:t>
  </x:si>
  <x:si>
    <x:t xml:space="preserve">https://jacelber.github.io/mtgo-data/index.html?format=standard&amp;product=mtgo-top8&amp;week=2026-W33&amp;detail=12851664%3A6&amp;lang=zh</x:t>
  </x:si>
  <x:si>
    <x:t xml:space="preserve">manjyui</x:t>
  </x:si>
  <x:si>
    <x:t xml:space="preserve">deck:1d0bc9f691a0837ad0c3</x:t>
  </x:si>
  <x:si>
    <x:t xml:space="preserve">Dimir Midrange · manjyui · 第7名</x:t>
  </x:si>
  <x:si>
    <x:t xml:space="preserve">Dimir Midrange · manjyui · Rank 7</x:t>
  </x:si>
  <x:si>
    <x:t xml:space="preserve">https://jacelber.github.io/mtgo-data/index.html?format=standard&amp;product=mtgo-top8&amp;week=2026-W33&amp;detail=12851664%3A7&amp;lang=zh</x:t>
  </x:si>
  <x:si>
    <x:t xml:space="preserve">Denisevich</x:t>
  </x:si>
  <x:si>
    <x:t xml:space="preserve">deck:81a053b3c4268eed0ba1</x:t>
  </x:si>
  <x:si>
    <x:t xml:space="preserve">Mono-Green Landfall · Denisevich · 第8名</x:t>
  </x:si>
  <x:si>
    <x:t xml:space="preserve">Mono-Green Landfall · Denisevich · Rank 8</x:t>
  </x:si>
  <x:si>
    <x:t xml:space="preserve">https://jacelber.github.io/mtgo-data/index.html?format=standard&amp;product=mtgo-top8&amp;week=2026-W33&amp;detail=12851664%3A8&amp;lang=zh</x:t>
  </x:si>
  <x:si>
    <x:t xml:space="preserve">jackie42005</x:t>
  </x:si>
  <x:si>
    <x:t xml:space="preserve">deck:c88042b7ddc49328a846</x:t>
  </x:si>
  <x:si>
    <x:t xml:space="preserve">Mono-Green Landfall · jackie42005 · 第2名</x:t>
  </x:si>
  <x:si>
    <x:t xml:space="preserve">Mono-Green Landfall · jackie42005 · Rank 2</x:t>
  </x:si>
  <x:si>
    <x:t xml:space="preserve">https://jacelber.github.io/mtgo-data/index.html?format=standard&amp;product=mtgo-top8&amp;week=2026-W33&amp;detail=12851684%3A2&amp;lang=zh</x:t>
  </x:si>
  <x:si>
    <x:t xml:space="preserve">UnholyMarmotPie</x:t>
  </x:si>
  <x:si>
    <x:t xml:space="preserve">deck:11a17bee4da212b65cab</x:t>
  </x:si>
  <x:si>
    <x:t xml:space="preserve">Mardu Discard · UnholyMarmotPie · 第3名</x:t>
  </x:si>
  <x:si>
    <x:t xml:space="preserve">Mardu Discard · UnholyMarmotPie · Rank 3</x:t>
  </x:si>
  <x:si>
    <x:t xml:space="preserve">https://jacelber.github.io/mtgo-data/index.html?format=standard&amp;product=mtgo-top8&amp;week=2026-W33&amp;detail=12851684%3A3&amp;lang=zh</x:t>
  </x:si>
  <x:si>
    <x:t xml:space="preserve">YourDoom25</x:t>
  </x:si>
  <x:si>
    <x:t xml:space="preserve">deck:e9ef5d9cde0ef704214b</x:t>
  </x:si>
  <x:si>
    <x:t xml:space="preserve">Orzhov Lifegain · YourDoom25 · 第4名</x:t>
  </x:si>
  <x:si>
    <x:t xml:space="preserve">Orzhov Lifegain · YourDoom25 · Rank 4</x:t>
  </x:si>
  <x:si>
    <x:t xml:space="preserve">https://jacelber.github.io/mtgo-data/index.html?format=standard&amp;product=mtgo-top8&amp;week=2026-W33&amp;detail=12851684%3A4&amp;lang=zh</x:t>
  </x:si>
  <x:si>
    <x:t xml:space="preserve">Ramp Elementals</x:t>
  </x:si>
  <x:si>
    <x:t xml:space="preserve">RNicoF</x:t>
  </x:si>
  <x:si>
    <x:t xml:space="preserve">deck:d504150cab03e7c7bf42</x:t>
  </x:si>
  <x:si>
    <x:t xml:space="preserve">Ramp Elementals · RNicoF · 第5名</x:t>
  </x:si>
  <x:si>
    <x:t xml:space="preserve">Ramp Elementals · RNicoF · Rank 5</x:t>
  </x:si>
  <x:si>
    <x:t xml:space="preserve">https://jacelber.github.io/mtgo-data/index.html?format=standard&amp;product=mtgo-top8&amp;week=2026-W33&amp;detail=12851684%3A5&amp;lang=zh</x:t>
  </x:si>
  <x:si>
    <x:t xml:space="preserve">ObiJuanDaHomie</x:t>
  </x:si>
  <x:si>
    <x:t xml:space="preserve">deck:a30c560e4b6381bfc36d</x:t>
  </x:si>
  <x:si>
    <x:t xml:space="preserve">Boros Dragons · ObiJuanDaHomie · 第7名</x:t>
  </x:si>
  <x:si>
    <x:t xml:space="preserve">Boros Dragons · ObiJuanDaHomie · Rank 7</x:t>
  </x:si>
  <x:si>
    <x:t xml:space="preserve">https://jacelber.github.io/mtgo-data/index.html?format=standard&amp;product=mtgo-top8&amp;week=2026-W33&amp;detail=12851684%3A7&amp;lang=zh</x:t>
  </x:si>
  <x:si>
    <x:t xml:space="preserve">deck:910c9c942b32d1b39c46</x:t>
  </x:si>
  <x:si>
    <x:t xml:space="preserve">Dimir Midrange · claudioh · 第8名</x:t>
  </x:si>
  <x:si>
    <x:t xml:space="preserve">Dimir Midrange · claudioh · Rank 8</x:t>
  </x:si>
  <x:si>
    <x:t xml:space="preserve">https://jacelber.github.io/mtgo-data/index.html?format=standard&amp;product=mtgo-top8&amp;week=2026-W33&amp;detail=12851684%3A8&amp;lang=zh</x:t>
  </x:si>
  <x:si>
    <x:t xml:space="preserve">Modern Challenge 64 · 12851118</x:t>
  </x:si>
  <x:si>
    <x:t xml:space="preserve">Esper Blink</x:t>
  </x:si>
  <x:si>
    <x:t xml:space="preserve">Martin_Dominguez</x:t>
  </x:si>
  <x:si>
    <x:t xml:space="preserve">deck:96ecc45b881d47a331a4</x:t>
  </x:si>
  <x:si>
    <x:t xml:space="preserve">Esper Blink · Martin_Dominguez · 第1名</x:t>
  </x:si>
  <x:si>
    <x:t xml:space="preserve">Esper Blink · Martin_Dominguez · Rank 1</x:t>
  </x:si>
  <x:si>
    <x:t xml:space="preserve">https://jacelber.github.io/mtgo-data/index.html?format=modern&amp;product=mtgo-top8&amp;week=2026-W33&amp;detail=12851118%3A1&amp;lang=zh</x:t>
  </x:si>
  <x:si>
    <x:t xml:space="preserve">Dimir Tempo</x:t>
  </x:si>
  <x:si>
    <x:t xml:space="preserve">deck:7665f30cf9f9c794c61c</x:t>
  </x:si>
  <x:si>
    <x:t xml:space="preserve">Dimir Tempo · Venom01 · 第2名</x:t>
  </x:si>
  <x:si>
    <x:t xml:space="preserve">Dimir Tempo · Venom01 · Rank 2</x:t>
  </x:si>
  <x:si>
    <x:t xml:space="preserve">https://jacelber.github.io/mtgo-data/index.html?format=modern&amp;product=mtgo-top8&amp;week=2026-W33&amp;detail=12851118%3A2&amp;lang=zh</x:t>
  </x:si>
  <x:si>
    <x:t xml:space="preserve">oinkmage22</x:t>
  </x:si>
  <x:si>
    <x:t xml:space="preserve">deck:c4a26abe90ff9fdf65a1</x:t>
  </x:si>
  <x:si>
    <x:t xml:space="preserve">Dimir Tempo · oinkmage22 · 第3名</x:t>
  </x:si>
  <x:si>
    <x:t xml:space="preserve">Dimir Tempo · oinkmage22 · Rank 3</x:t>
  </x:si>
  <x:si>
    <x:t xml:space="preserve">https://jacelber.github.io/mtgo-data/index.html?format=modern&amp;product=mtgo-top8&amp;week=2026-W33&amp;detail=12851118%3A3&amp;lang=zh</x:t>
  </x:si>
  <x:si>
    <x:t xml:space="preserve">Izzet Steel-Cutter</x:t>
  </x:si>
  <x:si>
    <x:t xml:space="preserve">toothymtg</x:t>
  </x:si>
  <x:si>
    <x:t xml:space="preserve">deck:6250140fc18e80b1781f</x:t>
  </x:si>
  <x:si>
    <x:t xml:space="preserve">Izzet Steel-Cutter · toothymtg · 第4名</x:t>
  </x:si>
  <x:si>
    <x:t xml:space="preserve">Izzet Steel-Cutter · toothymtg · Rank 4</x:t>
  </x:si>
  <x:si>
    <x:t xml:space="preserve">https://jacelber.github.io/mtgo-data/index.html?format=modern&amp;product=mtgo-top8&amp;week=2026-W33&amp;detail=12851118%3A4&amp;lang=zh</x:t>
  </x:si>
  <x:si>
    <x:t xml:space="preserve">Eldrazi Ramp Chant</x:t>
  </x:si>
  <x:si>
    <x:t xml:space="preserve">duke12</x:t>
  </x:si>
  <x:si>
    <x:t xml:space="preserve">deck:e008b02bb490aab90358</x:t>
  </x:si>
  <x:si>
    <x:t xml:space="preserve">Eldrazi Ramp Chant · duke12 · 第5名</x:t>
  </x:si>
  <x:si>
    <x:t xml:space="preserve">Eldrazi Ramp Chant · duke12 · Rank 5</x:t>
  </x:si>
  <x:si>
    <x:t xml:space="preserve">https://jacelber.github.io/mtgo-data/index.html?format=modern&amp;product=mtgo-top8&amp;week=2026-W33&amp;detail=12851118%3A5&amp;lang=zh</x:t>
  </x:si>
  <x:si>
    <x:t xml:space="preserve">Dimir Mill</x:t>
  </x:si>
  <x:si>
    <x:t xml:space="preserve">deck:456909d27c01933cdeca</x:t>
  </x:si>
  <x:si>
    <x:t xml:space="preserve">Dimir Mill · auzzie51 · 第6名</x:t>
  </x:si>
  <x:si>
    <x:t xml:space="preserve">Dimir Mill · auzzie51 · Rank 6</x:t>
  </x:si>
  <x:si>
    <x:t xml:space="preserve">https://jacelber.github.io/mtgo-data/index.html?format=modern&amp;product=mtgo-top8&amp;week=2026-W33&amp;detail=12851118%3A6&amp;lang=zh</x:t>
  </x:si>
  <x:si>
    <x:t xml:space="preserve">Domain Zoo</x:t>
  </x:si>
  <x:si>
    <x:t xml:space="preserve">felider</x:t>
  </x:si>
  <x:si>
    <x:t xml:space="preserve">deck:92b420b9120c0232c03b</x:t>
  </x:si>
  <x:si>
    <x:t xml:space="preserve">Domain Zoo · felider · 第7名</x:t>
  </x:si>
  <x:si>
    <x:t xml:space="preserve">Domain Zoo · felider · Rank 7</x:t>
  </x:si>
  <x:si>
    <x:t xml:space="preserve">https://jacelber.github.io/mtgo-data/index.html?format=modern&amp;product=mtgo-top8&amp;week=2026-W33&amp;detail=12851118%3A7&amp;lang=zh</x:t>
  </x:si>
  <x:si>
    <x:t xml:space="preserve">fuya</x:t>
  </x:si>
  <x:si>
    <x:t xml:space="preserve">deck:5f642903497d6a9abc49</x:t>
  </x:si>
  <x:si>
    <x:t xml:space="preserve">Boros Energy · fuya · 第8名</x:t>
  </x:si>
  <x:si>
    <x:t xml:space="preserve">Boros Energy · fuya · Rank 8</x:t>
  </x:si>
  <x:si>
    <x:t xml:space="preserve">https://jacelber.github.io/mtgo-data/index.html?format=modern&amp;product=mtgo-top8&amp;week=2026-W33&amp;detail=12851118%3A8&amp;lang=zh</x:t>
  </x:si>
  <x:si>
    <x:t xml:space="preserve">Modern Challenge 96 · 12851122</x:t>
  </x:si>
  <x:si>
    <x:t xml:space="preserve">Prowess</x:t>
  </x:si>
  <x:si>
    <x:t xml:space="preserve">Sven745</x:t>
  </x:si>
  <x:si>
    <x:t xml:space="preserve">deck:56fcc2b60041824b88eb</x:t>
  </x:si>
  <x:si>
    <x:t xml:space="preserve">Prowess · Sven745 · 第1名</x:t>
  </x:si>
  <x:si>
    <x:t xml:space="preserve">Prowess · Sven745 · Rank 1</x:t>
  </x:si>
  <x:si>
    <x:t xml:space="preserve">https://jacelber.github.io/mtgo-data/index.html?format=modern&amp;product=mtgo-top8&amp;week=2026-W33&amp;detail=12851122%3A1&amp;lang=zh</x:t>
  </x:si>
  <x:si>
    <x:t xml:space="preserve">Broodscale Combo</x:t>
  </x:si>
  <x:si>
    <x:t xml:space="preserve">ziofrancone</x:t>
  </x:si>
  <x:si>
    <x:t xml:space="preserve">deck:d326585ffeafdc46a740</x:t>
  </x:si>
  <x:si>
    <x:t xml:space="preserve">Broodscale Combo · ziofrancone · 第2名</x:t>
  </x:si>
  <x:si>
    <x:t xml:space="preserve">Broodscale Combo · ziofrancone · Rank 2</x:t>
  </x:si>
  <x:si>
    <x:t xml:space="preserve">https://jacelber.github.io/mtgo-data/index.html?format=modern&amp;product=mtgo-top8&amp;week=2026-W33&amp;detail=12851122%3A2&amp;lang=zh</x:t>
  </x:si>
  <x:si>
    <x:t xml:space="preserve">RespectTheCat</x:t>
  </x:si>
  <x:si>
    <x:t xml:space="preserve">deck:ab7d816a180a11906390</x:t>
  </x:si>
  <x:si>
    <x:t xml:space="preserve">Esper Blink · RespectTheCat · 第3名</x:t>
  </x:si>
  <x:si>
    <x:t xml:space="preserve">Esper Blink · RespectTheCat · Rank 3</x:t>
  </x:si>
  <x:si>
    <x:t xml:space="preserve">https://jacelber.github.io/mtgo-data/index.html?format=modern&amp;product=mtgo-top8&amp;week=2026-W33&amp;detail=12851122%3A3&amp;lang=zh</x:t>
  </x:si>
  <x:si>
    <x:t xml:space="preserve">Affinity</x:t>
  </x:si>
  <x:si>
    <x:t xml:space="preserve">solaec0501</x:t>
  </x:si>
  <x:si>
    <x:t xml:space="preserve">deck:1bbaa408e9d21a665587</x:t>
  </x:si>
  <x:si>
    <x:t xml:space="preserve">Affinity · solaec0501 · 第4名</x:t>
  </x:si>
  <x:si>
    <x:t xml:space="preserve">Affinity · solaec0501 · Rank 4</x:t>
  </x:si>
  <x:si>
    <x:t xml:space="preserve">https://jacelber.github.io/mtgo-data/index.html?format=modern&amp;product=mtgo-top8&amp;week=2026-W33&amp;detail=12851122%3A4&amp;lang=zh</x:t>
  </x:si>
  <x:si>
    <x:t xml:space="preserve">Ruby Storm</x:t>
  </x:si>
  <x:si>
    <x:t xml:space="preserve">_bwonsamdi_</x:t>
  </x:si>
  <x:si>
    <x:t xml:space="preserve">deck:1985fbc1588a1bc3d789</x:t>
  </x:si>
  <x:si>
    <x:t xml:space="preserve">Ruby Storm · _bwonsamdi_ · 第5名</x:t>
  </x:si>
  <x:si>
    <x:t xml:space="preserve">Ruby Storm · _bwonsamdi_ · Rank 5</x:t>
  </x:si>
  <x:si>
    <x:t xml:space="preserve">https://jacelber.github.io/mtgo-data/index.html?format=modern&amp;product=mtgo-top8&amp;week=2026-W33&amp;detail=12851122%3A5&amp;lang=zh</x:t>
  </x:si>
  <x:si>
    <x:t xml:space="preserve">RCMerriam</x:t>
  </x:si>
  <x:si>
    <x:t xml:space="preserve">deck:ed60abe2bdb83e30dca1</x:t>
  </x:si>
  <x:si>
    <x:t xml:space="preserve">Broodscale Combo · RCMerriam · 第6名</x:t>
  </x:si>
  <x:si>
    <x:t xml:space="preserve">Broodscale Combo · RCMerriam · Rank 6</x:t>
  </x:si>
  <x:si>
    <x:t xml:space="preserve">https://jacelber.github.io/mtgo-data/index.html?format=modern&amp;product=mtgo-top8&amp;week=2026-W33&amp;detail=12851122%3A6&amp;lang=zh</x:t>
  </x:si>
  <x:si>
    <x:t xml:space="preserve">Mono-Blue Belcher</x:t>
  </x:si>
  <x:si>
    <x:t xml:space="preserve">JustAnotherGuy83</x:t>
  </x:si>
  <x:si>
    <x:t xml:space="preserve">deck:27aa165fe1f5c2880954</x:t>
  </x:si>
  <x:si>
    <x:t xml:space="preserve">Mono-Blue Belcher · JustAnotherGuy83 · 第7名</x:t>
  </x:si>
  <x:si>
    <x:t xml:space="preserve">Mono-Blue Belcher · JustAnotherGuy83 · Rank 7</x:t>
  </x:si>
  <x:si>
    <x:t xml:space="preserve">https://jacelber.github.io/mtgo-data/index.html?format=modern&amp;product=mtgo-top8&amp;week=2026-W33&amp;detail=12851122%3A7&amp;lang=zh</x:t>
  </x:si>
  <x:si>
    <x:t xml:space="preserve">Devoted Druid Combo</x:t>
  </x:si>
  <x:si>
    <x:t xml:space="preserve">nightwitch</x:t>
  </x:si>
  <x:si>
    <x:t xml:space="preserve">deck:bf0f4ad19de4198cda64</x:t>
  </x:si>
  <x:si>
    <x:t xml:space="preserve">Devoted Druid Combo · nightwitch · 第8名</x:t>
  </x:si>
  <x:si>
    <x:t xml:space="preserve">Devoted Druid Combo · nightwitch · Rank 8</x:t>
  </x:si>
  <x:si>
    <x:t xml:space="preserve">https://jacelber.github.io/mtgo-data/index.html?format=modern&amp;product=mtgo-top8&amp;week=2026-W33&amp;detail=12851122%3A8&amp;lang=zh</x:t>
  </x:si>
  <x:si>
    <x:t xml:space="preserve">Modern Challenge 64 · 12851612</x:t>
  </x:si>
  <x:si>
    <x:t xml:space="preserve">Amulet Titan</x:t>
  </x:si>
  <x:si>
    <x:t xml:space="preserve">reidq7</x:t>
  </x:si>
  <x:si>
    <x:t xml:space="preserve">deck:a14b29f522fcac3fd46d</x:t>
  </x:si>
  <x:si>
    <x:t xml:space="preserve">Amulet Titan · reidq7 · 第1名</x:t>
  </x:si>
  <x:si>
    <x:t xml:space="preserve">Amulet Titan · reidq7 · Rank 1</x:t>
  </x:si>
  <x:si>
    <x:t xml:space="preserve">https://jacelber.github.io/mtgo-data/index.html?format=modern&amp;product=mtgo-top8&amp;week=2026-W33&amp;detail=12851612%3A1&amp;lang=zh</x:t>
  </x:si>
  <x:si>
    <x:t xml:space="preserve">Esper Goryo's</x:t>
  </x:si>
  <x:si>
    <x:t xml:space="preserve">Rvng</x:t>
  </x:si>
  <x:si>
    <x:t xml:space="preserve">deck:cbe1cf886c402b2eae93</x:t>
  </x:si>
  <x:si>
    <x:t xml:space="preserve">Esper Goryo's · Rvng · 第2名</x:t>
  </x:si>
  <x:si>
    <x:t xml:space="preserve">Esper Goryo's · Rvng · Rank 2</x:t>
  </x:si>
  <x:si>
    <x:t xml:space="preserve">https://jacelber.github.io/mtgo-data/index.html?format=modern&amp;product=mtgo-top8&amp;week=2026-W33&amp;detail=12851612%3A2&amp;lang=zh</x:t>
  </x:si>
  <x:si>
    <x:t xml:space="preserve">Living End</x:t>
  </x:si>
  <x:si>
    <x:t xml:space="preserve">MeninoNey</x:t>
  </x:si>
  <x:si>
    <x:t xml:space="preserve">deck:a3c20a18085356a1afd3</x:t>
  </x:si>
  <x:si>
    <x:t xml:space="preserve">Living End · MeninoNey · 第3名</x:t>
  </x:si>
  <x:si>
    <x:t xml:space="preserve">Living End · MeninoNey · Rank 3</x:t>
  </x:si>
  <x:si>
    <x:t xml:space="preserve">https://jacelber.github.io/mtgo-data/index.html?format=modern&amp;product=mtgo-top8&amp;week=2026-W33&amp;detail=12851612%3A3&amp;lang=zh</x:t>
  </x:si>
  <x:si>
    <x:t xml:space="preserve">deck:ede71449fa75e11bc7b2</x:t>
  </x:si>
  <x:si>
    <x:t xml:space="preserve">https://jacelber.github.io/mtgo-data/index.html?format=modern&amp;product=mtgo-top8&amp;week=2026-W33&amp;detail=12851612%3A4&amp;lang=zh</x:t>
  </x:si>
  <x:si>
    <x:t xml:space="preserve">HoldTheElle</x:t>
  </x:si>
  <x:si>
    <x:t xml:space="preserve">deck:9b7921bb16d05c23d063</x:t>
  </x:si>
  <x:si>
    <x:t xml:space="preserve">Esper Goryo's · HoldTheElle · 第5名</x:t>
  </x:si>
  <x:si>
    <x:t xml:space="preserve">Esper Goryo's · HoldTheElle · Rank 5</x:t>
  </x:si>
  <x:si>
    <x:t xml:space="preserve">https://jacelber.github.io/mtgo-data/index.html?format=modern&amp;product=mtgo-top8&amp;week=2026-W33&amp;detail=12851612%3A5&amp;lang=zh</x:t>
  </x:si>
  <x:si>
    <x:t xml:space="preserve">SuperCow12653</x:t>
  </x:si>
  <x:si>
    <x:t xml:space="preserve">deck:d2a0e4c9c9a128c72bfc</x:t>
  </x:si>
  <x:si>
    <x:t xml:space="preserve">Prowess · SuperCow12653 · 第6名</x:t>
  </x:si>
  <x:si>
    <x:t xml:space="preserve">Prowess · SuperCow12653 · Rank 6</x:t>
  </x:si>
  <x:si>
    <x:t xml:space="preserve">https://jacelber.github.io/mtgo-data/index.html?format=modern&amp;product=mtgo-top8&amp;week=2026-W33&amp;detail=12851612%3A6&amp;lang=zh</x:t>
  </x:si>
  <x:si>
    <x:t xml:space="preserve">HouseOfManaMTG</x:t>
  </x:si>
  <x:si>
    <x:t xml:space="preserve">deck:52fa5c8dd2a7a0290e4a</x:t>
  </x:si>
  <x:si>
    <x:t xml:space="preserve">Devoted Druid Combo · HouseOfManaMTG · 第7名</x:t>
  </x:si>
  <x:si>
    <x:t xml:space="preserve">Devoted Druid Combo · HouseOfManaMTG · Rank 7</x:t>
  </x:si>
  <x:si>
    <x:t xml:space="preserve">https://jacelber.github.io/mtgo-data/index.html?format=modern&amp;product=mtgo-top8&amp;week=2026-W33&amp;detail=12851612%3A7&amp;lang=zh</x:t>
  </x:si>
  <x:si>
    <x:t xml:space="preserve">Necrodominance</x:t>
  </x:si>
  <x:si>
    <x:t xml:space="preserve">Craig_Long123</x:t>
  </x:si>
  <x:si>
    <x:t xml:space="preserve">deck:971370b03175ca880a55</x:t>
  </x:si>
  <x:si>
    <x:t xml:space="preserve">Necrodominance · Craig_Long123 · 第8名</x:t>
  </x:si>
  <x:si>
    <x:t xml:space="preserve">Necrodominance · Craig_Long123 · Rank 8</x:t>
  </x:si>
  <x:si>
    <x:t xml:space="preserve">https://jacelber.github.io/mtgo-data/index.html?format=modern&amp;product=mtgo-top8&amp;week=2026-W33&amp;detail=12851612%3A8&amp;lang=zh</x:t>
  </x:si>
  <x:si>
    <x:t xml:space="preserve">Modern Challenge 32 · 12851614</x:t>
  </x:si>
  <x:si>
    <x:t xml:space="preserve">2026-08-12</x:t>
  </x:si>
  <x:si>
    <x:t xml:space="preserve">Boros Ponza</x:t>
  </x:si>
  <x:si>
    <x:t xml:space="preserve">deck:eedcd1f733d9386180a7</x:t>
  </x:si>
  <x:si>
    <x:t xml:space="preserve">Boros Ponza · Kritik · 第1名</x:t>
  </x:si>
  <x:si>
    <x:t xml:space="preserve">Boros Ponza · Kritik · Rank 1</x:t>
  </x:si>
  <x:si>
    <x:t xml:space="preserve">https://jacelber.github.io/mtgo-data/index.html?format=modern&amp;product=mtgo-top8&amp;week=2026-W33&amp;detail=12851614%3A1&amp;lang=zh</x:t>
  </x:si>
  <x:si>
    <x:t xml:space="preserve">Simic Neoform</x:t>
  </x:si>
  <x:si>
    <x:t xml:space="preserve">frekinsmart</x:t>
  </x:si>
  <x:si>
    <x:t xml:space="preserve">deck:a528d5c5e17bccc1824c</x:t>
  </x:si>
  <x:si>
    <x:t xml:space="preserve">Simic Neoform · frekinsmart · 第2名</x:t>
  </x:si>
  <x:si>
    <x:t xml:space="preserve">Simic Neoform · frekinsmart · Rank 2</x:t>
  </x:si>
  <x:si>
    <x:t xml:space="preserve">https://jacelber.github.io/mtgo-data/index.html?format=modern&amp;product=mtgo-top8&amp;week=2026-W33&amp;detail=12851614%3A2&amp;lang=zh</x:t>
  </x:si>
  <x:si>
    <x:t xml:space="preserve">Kollslaw</x:t>
  </x:si>
  <x:si>
    <x:t xml:space="preserve">deck:996238f9d83eeebcbdee</x:t>
  </x:si>
  <x:si>
    <x:t xml:space="preserve">Esper Goryo's · Kollslaw · 第3名</x:t>
  </x:si>
  <x:si>
    <x:t xml:space="preserve">Esper Goryo's · Kollslaw · Rank 3</x:t>
  </x:si>
  <x:si>
    <x:t xml:space="preserve">https://jacelber.github.io/mtgo-data/index.html?format=modern&amp;product=mtgo-top8&amp;week=2026-W33&amp;detail=12851614%3A3&amp;lang=zh</x:t>
  </x:si>
  <x:si>
    <x:t xml:space="preserve">HuUeBR</x:t>
  </x:si>
  <x:si>
    <x:t xml:space="preserve">deck:bba99252c87ffbe5bea1</x:t>
  </x:si>
  <x:si>
    <x:t xml:space="preserve">Broodscale Combo · HuUeBR · 第4名</x:t>
  </x:si>
  <x:si>
    <x:t xml:space="preserve">Broodscale Combo · HuUeBR · Rank 4</x:t>
  </x:si>
  <x:si>
    <x:t xml:space="preserve">https://jacelber.github.io/mtgo-data/index.html?format=modern&amp;product=mtgo-top8&amp;week=2026-W33&amp;detail=12851614%3A4&amp;lang=zh</x:t>
  </x:si>
  <x:si>
    <x:t xml:space="preserve">deck:95db744245e23d50358c</x:t>
  </x:si>
  <x:si>
    <x:t xml:space="preserve">Devoted Druid Combo · LucasG1ggs · 第5名</x:t>
  </x:si>
  <x:si>
    <x:t xml:space="preserve">Devoted Druid Combo · LucasG1ggs · Rank 5</x:t>
  </x:si>
  <x:si>
    <x:t xml:space="preserve">https://jacelber.github.io/mtgo-data/index.html?format=modern&amp;product=mtgo-top8&amp;week=2026-W33&amp;detail=12851614%3A5&amp;lang=zh</x:t>
  </x:si>
  <x:si>
    <x:t xml:space="preserve">Eldrazi Tron</x:t>
  </x:si>
  <x:si>
    <x:t xml:space="preserve">Stealthmagician</x:t>
  </x:si>
  <x:si>
    <x:t xml:space="preserve">deck:79521f8c484938c0e2a0</x:t>
  </x:si>
  <x:si>
    <x:t xml:space="preserve">Eldrazi Tron · Stealthmagician · 第6名</x:t>
  </x:si>
  <x:si>
    <x:t xml:space="preserve">Eldrazi Tron · Stealthmagician · Rank 6</x:t>
  </x:si>
  <x:si>
    <x:t xml:space="preserve">https://jacelber.github.io/mtgo-data/index.html?format=modern&amp;product=mtgo-top8&amp;week=2026-W33&amp;detail=12851614%3A6&amp;lang=zh</x:t>
  </x:si>
  <x:si>
    <x:t xml:space="preserve">Song of Creation</x:t>
  </x:si>
  <x:si>
    <x:t xml:space="preserve">mommydom_manifesto</x:t>
  </x:si>
  <x:si>
    <x:t xml:space="preserve">deck:b3067d589ec3772e4cc9</x:t>
  </x:si>
  <x:si>
    <x:t xml:space="preserve">Song of Creation · mommydom_manifesto · 第7名</x:t>
  </x:si>
  <x:si>
    <x:t xml:space="preserve">Song of Creation · mommydom_manifesto · Rank 7</x:t>
  </x:si>
  <x:si>
    <x:t xml:space="preserve">https://jacelber.github.io/mtgo-data/index.html?format=modern&amp;product=mtgo-top8&amp;week=2026-W33&amp;detail=12851614%3A7&amp;lang=zh</x:t>
  </x:si>
  <x:si>
    <x:t xml:space="preserve">Watchwolf92</x:t>
  </x:si>
  <x:si>
    <x:t xml:space="preserve">deck:19c7506b7f7321f78135</x:t>
  </x:si>
  <x:si>
    <x:t xml:space="preserve">Esper Blink · Watchwolf92 · 第8名</x:t>
  </x:si>
  <x:si>
    <x:t xml:space="preserve">Esper Blink · Watchwolf92 · Rank 8</x:t>
  </x:si>
  <x:si>
    <x:t xml:space="preserve">https://jacelber.github.io/mtgo-data/index.html?format=modern&amp;product=mtgo-top8&amp;week=2026-W33&amp;detail=12851614%3A8&amp;lang=zh</x:t>
  </x:si>
  <x:si>
    <x:t xml:space="preserve">Modern Challenge 96 · 12851623</x:t>
  </x:si>
  <x:si>
    <x:t xml:space="preserve">_theMoonSage_</x:t>
  </x:si>
  <x:si>
    <x:t xml:space="preserve">deck:380788ddb7ecbcdee104</x:t>
  </x:si>
  <x:si>
    <x:t xml:space="preserve">Devoted Druid Combo · _theMoonSage_ · 第1名</x:t>
  </x:si>
  <x:si>
    <x:t xml:space="preserve">Devoted Druid Combo · _theMoonSage_ · Rank 1</x:t>
  </x:si>
  <x:si>
    <x:t xml:space="preserve">https://jacelber.github.io/mtgo-data/index.html?format=modern&amp;product=mtgo-top8&amp;week=2026-W33&amp;detail=12851623%3A1&amp;lang=zh</x:t>
  </x:si>
  <x:si>
    <x:t xml:space="preserve">deck:747819f36eeed05aa4c0</x:t>
  </x:si>
  <x:si>
    <x:t xml:space="preserve">Living End · MeninoNey · 第2名</x:t>
  </x:si>
  <x:si>
    <x:t xml:space="preserve">Living End · MeninoNey · Rank 2</x:t>
  </x:si>
  <x:si>
    <x:t xml:space="preserve">https://jacelber.github.io/mtgo-data/index.html?format=modern&amp;product=mtgo-top8&amp;week=2026-W33&amp;detail=12851623%3A2&amp;lang=zh</x:t>
  </x:si>
  <x:si>
    <x:t xml:space="preserve">ipadkid</x:t>
  </x:si>
  <x:si>
    <x:t xml:space="preserve">deck:8f93897025f84822b99b</x:t>
  </x:si>
  <x:si>
    <x:t xml:space="preserve">Dimir Tempo · ipadkid · 第3名</x:t>
  </x:si>
  <x:si>
    <x:t xml:space="preserve">Dimir Tempo · ipadkid · Rank 3</x:t>
  </x:si>
  <x:si>
    <x:t xml:space="preserve">https://jacelber.github.io/mtgo-data/index.html?format=modern&amp;product=mtgo-top8&amp;week=2026-W33&amp;detail=12851623%3A3&amp;lang=zh</x:t>
  </x:si>
  <x:si>
    <x:t xml:space="preserve">Izzet Wizards</x:t>
  </x:si>
  <x:si>
    <x:t xml:space="preserve">Alico</x:t>
  </x:si>
  <x:si>
    <x:t xml:space="preserve">deck:59a755d62c24c49d6351</x:t>
  </x:si>
  <x:si>
    <x:t xml:space="preserve">Izzet Wizards · Alico · 第4名</x:t>
  </x:si>
  <x:si>
    <x:t xml:space="preserve">Izzet Wizards · Alico · Rank 4</x:t>
  </x:si>
  <x:si>
    <x:t xml:space="preserve">https://jacelber.github.io/mtgo-data/index.html?format=modern&amp;product=mtgo-top8&amp;week=2026-W33&amp;detail=12851623%3A4&amp;lang=zh</x:t>
  </x:si>
  <x:si>
    <x:t xml:space="preserve">kthanakit26</x:t>
  </x:si>
  <x:si>
    <x:t xml:space="preserve">deck:d974ade76d2453ce45bb</x:t>
  </x:si>
  <x:si>
    <x:t xml:space="preserve">Boros Ponza · kthanakit26 · 第5名</x:t>
  </x:si>
  <x:si>
    <x:t xml:space="preserve">Boros Ponza · kthanakit26 · Rank 5</x:t>
  </x:si>
  <x:si>
    <x:t xml:space="preserve">https://jacelber.github.io/mtgo-data/index.html?format=modern&amp;product=mtgo-top8&amp;week=2026-W33&amp;detail=12851623%3A5&amp;lang=zh</x:t>
  </x:si>
  <x:si>
    <x:t xml:space="preserve">ShikiXYZ</x:t>
  </x:si>
  <x:si>
    <x:t xml:space="preserve">deck:c78596d7b96558166c40</x:t>
  </x:si>
  <x:si>
    <x:t xml:space="preserve">Boros Ponza · ShikiXYZ · 第6名</x:t>
  </x:si>
  <x:si>
    <x:t xml:space="preserve">Boros Ponza · ShikiXYZ · Rank 6</x:t>
  </x:si>
  <x:si>
    <x:t xml:space="preserve">https://jacelber.github.io/mtgo-data/index.html?format=modern&amp;product=mtgo-top8&amp;week=2026-W33&amp;detail=12851623%3A6&amp;lang=zh</x:t>
  </x:si>
  <x:si>
    <x:t xml:space="preserve">Aced5</x:t>
  </x:si>
  <x:si>
    <x:t xml:space="preserve">deck:cb4abb4ed7721874ab8b</x:t>
  </x:si>
  <x:si>
    <x:t xml:space="preserve">Boros Energy · Aced5 · 第7名</x:t>
  </x:si>
  <x:si>
    <x:t xml:space="preserve">Boros Energy · Aced5 · Rank 7</x:t>
  </x:si>
  <x:si>
    <x:t xml:space="preserve">https://jacelber.github.io/mtgo-data/index.html?format=modern&amp;product=mtgo-top8&amp;week=2026-W33&amp;detail=12851623%3A7&amp;lang=zh</x:t>
  </x:si>
  <x:si>
    <x:t xml:space="preserve">Rashek</x:t>
  </x:si>
  <x:si>
    <x:t xml:space="preserve">deck:f19b33cb1bad034081e5</x:t>
  </x:si>
  <x:si>
    <x:t xml:space="preserve">Boros Energy · Rashek · 第8名</x:t>
  </x:si>
  <x:si>
    <x:t xml:space="preserve">Boros Energy · Rashek · Rank 8</x:t>
  </x:si>
  <x:si>
    <x:t xml:space="preserve">https://jacelber.github.io/mtgo-data/index.html?format=modern&amp;product=mtgo-top8&amp;week=2026-W33&amp;detail=12851623%3A8&amp;lang=zh</x:t>
  </x:si>
  <x:si>
    <x:t xml:space="preserve">eswaff</x:t>
  </x:si>
  <x:si>
    <x:t xml:space="preserve">deck:3fea4a37ffd54c3f5a6a</x:t>
  </x:si>
  <x:si>
    <x:t xml:space="preserve">Esper Goryo's · eswaff · 第1名</x:t>
  </x:si>
  <x:si>
    <x:t xml:space="preserve">Esper Goryo's · eswaff · Rank 1</x:t>
  </x:si>
  <x:si>
    <x:t xml:space="preserve">https://jacelber.github.io/mtgo-data/index.html?format=modern&amp;product=mtgo-top8&amp;week=2026-W33&amp;detail=12851632%3A1&amp;lang=zh</x:t>
  </x:si>
  <x:si>
    <x:t xml:space="preserve">Scappie</x:t>
  </x:si>
  <x:si>
    <x:t xml:space="preserve">deck:dc39df2c2fbff54c5b12</x:t>
  </x:si>
  <x:si>
    <x:t xml:space="preserve">Eldrazi Tron · Scappie · 第3名</x:t>
  </x:si>
  <x:si>
    <x:t xml:space="preserve">Eldrazi Tron · Scappie · Rank 3</x:t>
  </x:si>
  <x:si>
    <x:t xml:space="preserve">https://jacelber.github.io/mtgo-data/index.html?format=modern&amp;product=mtgo-top8&amp;week=2026-W33&amp;detail=12851632%3A3&amp;lang=zh</x:t>
  </x:si>
  <x:si>
    <x:t xml:space="preserve">MercurialChemister</x:t>
  </x:si>
  <x:si>
    <x:t xml:space="preserve">deck:c85eba06c15936234246</x:t>
  </x:si>
  <x:si>
    <x:t xml:space="preserve">Domain Zoo · MercurialChemister · 第4名</x:t>
  </x:si>
  <x:si>
    <x:t xml:space="preserve">Domain Zoo · MercurialChemister · Rank 4</x:t>
  </x:si>
  <x:si>
    <x:t xml:space="preserve">https://jacelber.github.io/mtgo-data/index.html?format=modern&amp;product=mtgo-top8&amp;week=2026-W33&amp;detail=12851632%3A4&amp;lang=zh</x:t>
  </x:si>
  <x:si>
    <x:t xml:space="preserve">Esper Ketramose</x:t>
  </x:si>
  <x:si>
    <x:t xml:space="preserve">TSPJendrek</x:t>
  </x:si>
  <x:si>
    <x:t xml:space="preserve">deck:3aa06ae12b0102d100a1</x:t>
  </x:si>
  <x:si>
    <x:t xml:space="preserve">Esper Ketramose · TSPJendrek · 第5名</x:t>
  </x:si>
  <x:si>
    <x:t xml:space="preserve">Esper Ketramose · TSPJendrek · Rank 5</x:t>
  </x:si>
  <x:si>
    <x:t xml:space="preserve">https://jacelber.github.io/mtgo-data/index.html?format=modern&amp;product=mtgo-top8&amp;week=2026-W33&amp;detail=12851632%3A5&amp;lang=zh</x:t>
  </x:si>
  <x:si>
    <x:t xml:space="preserve">manohito</x:t>
  </x:si>
  <x:si>
    <x:t xml:space="preserve">deck:1126e6c798466666551e</x:t>
  </x:si>
  <x:si>
    <x:t xml:space="preserve">Broodscale Combo · manohito · 第6名</x:t>
  </x:si>
  <x:si>
    <x:t xml:space="preserve">Broodscale Combo · manohito · Rank 6</x:t>
  </x:si>
  <x:si>
    <x:t xml:space="preserve">https://jacelber.github.io/mtgo-data/index.html?format=modern&amp;product=mtgo-top8&amp;week=2026-W33&amp;detail=12851632%3A6&amp;lang=zh</x:t>
  </x:si>
  <x:si>
    <x:t xml:space="preserve">DskBayWolf</x:t>
  </x:si>
  <x:si>
    <x:t xml:space="preserve">deck:212356fcd894aeb1a94d</x:t>
  </x:si>
  <x:si>
    <x:t xml:space="preserve">Esper Goryo's · DskBayWolf · 第7名</x:t>
  </x:si>
  <x:si>
    <x:t xml:space="preserve">Esper Goryo's · DskBayWolf · Rank 7</x:t>
  </x:si>
  <x:si>
    <x:t xml:space="preserve">https://jacelber.github.io/mtgo-data/index.html?format=modern&amp;product=mtgo-top8&amp;week=2026-W33&amp;detail=12851632%3A7&amp;lang=zh</x:t>
  </x:si>
  <x:si>
    <x:t xml:space="preserve">Golgari Yawgmoth</x:t>
  </x:si>
  <x:si>
    <x:t xml:space="preserve">The_Yoda</x:t>
  </x:si>
  <x:si>
    <x:t xml:space="preserve">deck:fe7bd32068b615049dfe</x:t>
  </x:si>
  <x:si>
    <x:t xml:space="preserve">Golgari Yawgmoth · The_Yoda · 第8名</x:t>
  </x:si>
  <x:si>
    <x:t xml:space="preserve">Golgari Yawgmoth · The_Yoda · Rank 8</x:t>
  </x:si>
  <x:si>
    <x:t xml:space="preserve">https://jacelber.github.io/mtgo-data/index.html?format=modern&amp;product=mtgo-top8&amp;week=2026-W33&amp;detail=12851632%3A8&amp;lang=zh</x:t>
  </x:si>
  <x:si>
    <x:t xml:space="preserve">Modern Challenge 64 · 12851649</x:t>
  </x:si>
  <x:si>
    <x:t xml:space="preserve">RandomGameActions</x:t>
  </x:si>
  <x:si>
    <x:t xml:space="preserve">deck:574dbf79e4c8c917742d</x:t>
  </x:si>
  <x:si>
    <x:t xml:space="preserve">Esper Blink · RandomGameActions · 第1名</x:t>
  </x:si>
  <x:si>
    <x:t xml:space="preserve">Esper Blink · RandomGameActions · Rank 1</x:t>
  </x:si>
  <x:si>
    <x:t xml:space="preserve">https://jacelber.github.io/mtgo-data/index.html?format=modern&amp;product=mtgo-top8&amp;week=2026-W33&amp;detail=12851649%3A1&amp;lang=zh</x:t>
  </x:si>
  <x:si>
    <x:t xml:space="preserve">bestdraveneu</x:t>
  </x:si>
  <x:si>
    <x:t xml:space="preserve">deck:9273e69f588de0ab7519</x:t>
  </x:si>
  <x:si>
    <x:t xml:space="preserve">Izzet Steel-Cutter · bestdraveneu · 第2名</x:t>
  </x:si>
  <x:si>
    <x:t xml:space="preserve">Izzet Steel-Cutter · bestdraveneu · Rank 2</x:t>
  </x:si>
  <x:si>
    <x:t xml:space="preserve">https://jacelber.github.io/mtgo-data/index.html?format=modern&amp;product=mtgo-top8&amp;week=2026-W33&amp;detail=12851649%3A2&amp;lang=zh</x:t>
  </x:si>
  <x:si>
    <x:t xml:space="preserve">Azja</x:t>
  </x:si>
  <x:si>
    <x:t xml:space="preserve">deck:900b25470aa62ca40b93</x:t>
  </x:si>
  <x:si>
    <x:t xml:space="preserve">Simic Neoform · Azja · 第3名</x:t>
  </x:si>
  <x:si>
    <x:t xml:space="preserve">Simic Neoform · Azja · Rank 3</x:t>
  </x:si>
  <x:si>
    <x:t xml:space="preserve">https://jacelber.github.io/mtgo-data/index.html?format=modern&amp;product=mtgo-top8&amp;week=2026-W33&amp;detail=12851649%3A3&amp;lang=zh</x:t>
  </x:si>
  <x:si>
    <x:t xml:space="preserve">Retrisma</x:t>
  </x:si>
  <x:si>
    <x:t xml:space="preserve">deck:46b7484da2855f28a2e9</x:t>
  </x:si>
  <x:si>
    <x:t xml:space="preserve">Necrodominance · Retrisma · 第4名</x:t>
  </x:si>
  <x:si>
    <x:t xml:space="preserve">Necrodominance · Retrisma · Rank 4</x:t>
  </x:si>
  <x:si>
    <x:t xml:space="preserve">https://jacelber.github.io/mtgo-data/index.html?format=modern&amp;product=mtgo-top8&amp;week=2026-W33&amp;detail=12851649%3A4&amp;lang=zh</x:t>
  </x:si>
  <x:si>
    <x:t xml:space="preserve">Laplasjan</x:t>
  </x:si>
  <x:si>
    <x:t xml:space="preserve">deck:ea9c18cdf95d7503892d</x:t>
  </x:si>
  <x:si>
    <x:t xml:space="preserve">Devoted Druid Combo · Laplasjan · 第5名</x:t>
  </x:si>
  <x:si>
    <x:t xml:space="preserve">Devoted Druid Combo · Laplasjan · Rank 5</x:t>
  </x:si>
  <x:si>
    <x:t xml:space="preserve">https://jacelber.github.io/mtgo-data/index.html?format=modern&amp;product=mtgo-top8&amp;week=2026-W33&amp;detail=12851649%3A5&amp;lang=zh</x:t>
  </x:si>
  <x:si>
    <x:t xml:space="preserve">BLJ</x:t>
  </x:si>
  <x:si>
    <x:t xml:space="preserve">deck:6ec961d4aa03231b4e7b</x:t>
  </x:si>
  <x:si>
    <x:t xml:space="preserve">Broodscale Combo · BLJ · 第6名</x:t>
  </x:si>
  <x:si>
    <x:t xml:space="preserve">Broodscale Combo · BLJ · Rank 6</x:t>
  </x:si>
  <x:si>
    <x:t xml:space="preserve">https://jacelber.github.io/mtgo-data/index.html?format=modern&amp;product=mtgo-top8&amp;week=2026-W33&amp;detail=12851649%3A6&amp;lang=zh</x:t>
  </x:si>
  <x:si>
    <x:t xml:space="preserve">DeepDisherino</x:t>
  </x:si>
  <x:si>
    <x:t xml:space="preserve">deck:50442d6f210600af5dc9</x:t>
  </x:si>
  <x:si>
    <x:t xml:space="preserve">Affinity · DeepDisherino · 第7名</x:t>
  </x:si>
  <x:si>
    <x:t xml:space="preserve">Affinity · DeepDisherino · Rank 7</x:t>
  </x:si>
  <x:si>
    <x:t xml:space="preserve">https://jacelber.github.io/mtgo-data/index.html?format=modern&amp;product=mtgo-top8&amp;week=2026-W33&amp;detail=12851649%3A7&amp;lang=zh</x:t>
  </x:si>
  <x:si>
    <x:t xml:space="preserve">deck:d11e008a728514ac6a63</x:t>
  </x:si>
  <x:si>
    <x:t xml:space="preserve">Boros Energy · fazparte · 第8名</x:t>
  </x:si>
  <x:si>
    <x:t xml:space="preserve">Boros Energy · fazparte · Rank 8</x:t>
  </x:si>
  <x:si>
    <x:t xml:space="preserve">https://jacelber.github.io/mtgo-data/index.html?format=modern&amp;product=mtgo-top8&amp;week=2026-W33&amp;detail=12851649%3A8&amp;lang=zh</x:t>
  </x:si>
  <x:si>
    <x:t xml:space="preserve">Modern Challenge 64 · 12851658</x:t>
  </x:si>
  <x:si>
    <x:t xml:space="preserve">Ashigaruu</x:t>
  </x:si>
  <x:si>
    <x:t xml:space="preserve">deck:2266cd37977bfc458033</x:t>
  </x:si>
  <x:si>
    <x:t xml:space="preserve">Broodscale Combo · Ashigaruu · 第1名</x:t>
  </x:si>
  <x:si>
    <x:t xml:space="preserve">Broodscale Combo · Ashigaruu · Rank 1</x:t>
  </x:si>
  <x:si>
    <x:t xml:space="preserve">https://jacelber.github.io/mtgo-data/index.html?format=modern&amp;product=mtgo-top8&amp;week=2026-W33&amp;detail=12851658%3A1&amp;lang=zh</x:t>
  </x:si>
  <x:si>
    <x:t xml:space="preserve">Xsper</x:t>
  </x:si>
  <x:si>
    <x:t xml:space="preserve">deck:53e9bb79e9eebd7f77db</x:t>
  </x:si>
  <x:si>
    <x:t xml:space="preserve">Prowess · Xsper · 第2名</x:t>
  </x:si>
  <x:si>
    <x:t xml:space="preserve">Prowess · Xsper · Rank 2</x:t>
  </x:si>
  <x:si>
    <x:t xml:space="preserve">https://jacelber.github.io/mtgo-data/index.html?format=modern&amp;product=mtgo-top8&amp;week=2026-W33&amp;detail=12851658%3A2&amp;lang=zh</x:t>
  </x:si>
  <x:si>
    <x:t xml:space="preserve">nahuel10</x:t>
  </x:si>
  <x:si>
    <x:t xml:space="preserve">deck:d6d98a41088424439854</x:t>
  </x:si>
  <x:si>
    <x:t xml:space="preserve">Prowess · nahuel10 · 第3名</x:t>
  </x:si>
  <x:si>
    <x:t xml:space="preserve">Prowess · nahuel10 · Rank 3</x:t>
  </x:si>
  <x:si>
    <x:t xml:space="preserve">https://jacelber.github.io/mtgo-data/index.html?format=modern&amp;product=mtgo-top8&amp;week=2026-W33&amp;detail=12851658%3A3&amp;lang=zh</x:t>
  </x:si>
  <x:si>
    <x:t xml:space="preserve">i_b_TRUE</x:t>
  </x:si>
  <x:si>
    <x:t xml:space="preserve">deck:1f37df8c00991ec2d2b1</x:t>
  </x:si>
  <x:si>
    <x:t xml:space="preserve">Simic Neoform · i_b_TRUE · 第4名</x:t>
  </x:si>
  <x:si>
    <x:t xml:space="preserve">Simic Neoform · i_b_TRUE · Rank 4</x:t>
  </x:si>
  <x:si>
    <x:t xml:space="preserve">https://jacelber.github.io/mtgo-data/index.html?format=modern&amp;product=mtgo-top8&amp;week=2026-W33&amp;detail=12851658%3A4&amp;lang=zh</x:t>
  </x:si>
  <x:si>
    <x:t xml:space="preserve">selesneal</x:t>
  </x:si>
  <x:si>
    <x:t xml:space="preserve">deck:e2b01ec85a18e598bc2d</x:t>
  </x:si>
  <x:si>
    <x:t xml:space="preserve">Devoted Druid Combo · selesneal · 第5名</x:t>
  </x:si>
  <x:si>
    <x:t xml:space="preserve">Devoted Druid Combo · selesneal · Rank 5</x:t>
  </x:si>
  <x:si>
    <x:t xml:space="preserve">https://jacelber.github.io/mtgo-data/index.html?format=modern&amp;product=mtgo-top8&amp;week=2026-W33&amp;detail=12851658%3A5&amp;lang=zh</x:t>
  </x:si>
  <x:si>
    <x:t xml:space="preserve">gazmon48</x:t>
  </x:si>
  <x:si>
    <x:t xml:space="preserve">deck:3461ea5c55efc79f9e95</x:t>
  </x:si>
  <x:si>
    <x:t xml:space="preserve">Izzet Steel-Cutter · gazmon48 · 第6名</x:t>
  </x:si>
  <x:si>
    <x:t xml:space="preserve">Izzet Steel-Cutter · gazmon48 · Rank 6</x:t>
  </x:si>
  <x:si>
    <x:t xml:space="preserve">https://jacelber.github.io/mtgo-data/index.html?format=modern&amp;product=mtgo-top8&amp;week=2026-W33&amp;detail=12851658%3A6&amp;lang=zh</x:t>
  </x:si>
  <x:si>
    <x:t xml:space="preserve">HelpfulHobo</x:t>
  </x:si>
  <x:si>
    <x:t xml:space="preserve">deck:dbb0831c9354e91bca81</x:t>
  </x:si>
  <x:si>
    <x:t xml:space="preserve">Simic Neoform · HelpfulHobo · 第7名</x:t>
  </x:si>
  <x:si>
    <x:t xml:space="preserve">Simic Neoform · HelpfulHobo · Rank 7</x:t>
  </x:si>
  <x:si>
    <x:t xml:space="preserve">https://jacelber.github.io/mtgo-data/index.html?format=modern&amp;product=mtgo-top8&amp;week=2026-W33&amp;detail=12851658%3A7&amp;lang=zh</x:t>
  </x:si>
  <x:si>
    <x:t xml:space="preserve">deck:249b77550ccff1bec6a3</x:t>
  </x:si>
  <x:si>
    <x:t xml:space="preserve">Boros Energy · _Batutinha_ · 第8名</x:t>
  </x:si>
  <x:si>
    <x:t xml:space="preserve">Boros Energy · _Batutinha_ · Rank 8</x:t>
  </x:si>
  <x:si>
    <x:t xml:space="preserve">https://jacelber.github.io/mtgo-data/index.html?format=modern&amp;product=mtgo-top8&amp;week=2026-W33&amp;detail=12851658%3A8&amp;lang=zh</x:t>
  </x:si>
  <x:si>
    <x:t xml:space="preserve">Modern Challenge 32 · 12851660</x:t>
  </x:si>
  <x:si>
    <x:t xml:space="preserve">Lantern Control</x:t>
  </x:si>
  <x:si>
    <x:t xml:space="preserve">Taddy_99</x:t>
  </x:si>
  <x:si>
    <x:t xml:space="preserve">deck:4b795941a41de450b66b</x:t>
  </x:si>
  <x:si>
    <x:t xml:space="preserve">Lantern Control · Taddy_99 · 第1名</x:t>
  </x:si>
  <x:si>
    <x:t xml:space="preserve">Lantern Control · Taddy_99 · Rank 1</x:t>
  </x:si>
  <x:si>
    <x:t xml:space="preserve">https://jacelber.github.io/mtgo-data/index.html?format=modern&amp;product=mtgo-top8&amp;week=2026-W33&amp;detail=12851660%3A1&amp;lang=zh</x:t>
  </x:si>
  <x:si>
    <x:t xml:space="preserve">deck:3f185e204b97428559d8</x:t>
  </x:si>
  <x:si>
    <x:t xml:space="preserve">https://jacelber.github.io/mtgo-data/index.html?format=modern&amp;product=mtgo-top8&amp;week=2026-W33&amp;detail=12851660%3A2&amp;lang=zh</x:t>
  </x:si>
  <x:si>
    <x:t xml:space="preserve">SanPop</x:t>
  </x:si>
  <x:si>
    <x:t xml:space="preserve">deck:a3c99746e4179faacd9d</x:t>
  </x:si>
  <x:si>
    <x:t xml:space="preserve">Esper Ketramose · SanPop · 第3名</x:t>
  </x:si>
  <x:si>
    <x:t xml:space="preserve">Esper Ketramose · SanPop · Rank 3</x:t>
  </x:si>
  <x:si>
    <x:t xml:space="preserve">https://jacelber.github.io/mtgo-data/index.html?format=modern&amp;product=mtgo-top8&amp;week=2026-W33&amp;detail=12851660%3A3&amp;lang=zh</x:t>
  </x:si>
  <x:si>
    <x:t xml:space="preserve">Chant Control</x:t>
  </x:si>
  <x:si>
    <x:t xml:space="preserve">xl_snapcaster</x:t>
  </x:si>
  <x:si>
    <x:t xml:space="preserve">deck:f50274cafc9fe0cc9f83</x:t>
  </x:si>
  <x:si>
    <x:t xml:space="preserve">Chant Control · xl_snapcaster · 第4名</x:t>
  </x:si>
  <x:si>
    <x:t xml:space="preserve">Chant Control · xl_snapcaster · Rank 4</x:t>
  </x:si>
  <x:si>
    <x:t xml:space="preserve">https://jacelber.github.io/mtgo-data/index.html?format=modern&amp;product=mtgo-top8&amp;week=2026-W33&amp;detail=12851660%3A4&amp;lang=zh</x:t>
  </x:si>
  <x:si>
    <x:t xml:space="preserve">Napoleon_I</x:t>
  </x:si>
  <x:si>
    <x:t xml:space="preserve">deck:d7aacf1521edccab7a5b</x:t>
  </x:si>
  <x:si>
    <x:t xml:space="preserve">Broodscale Combo · Napoleon_I · 第5名</x:t>
  </x:si>
  <x:si>
    <x:t xml:space="preserve">Broodscale Combo · Napoleon_I · Rank 5</x:t>
  </x:si>
  <x:si>
    <x:t xml:space="preserve">https://jacelber.github.io/mtgo-data/index.html?format=modern&amp;product=mtgo-top8&amp;week=2026-W33&amp;detail=12851660%3A5&amp;lang=zh</x:t>
  </x:si>
  <x:si>
    <x:t xml:space="preserve">GigaChadSigmaMale</x:t>
  </x:si>
  <x:si>
    <x:t xml:space="preserve">deck:6f0e95cb5557da103d60</x:t>
  </x:si>
  <x:si>
    <x:t xml:space="preserve">Esper Goryo's · GigaChadSigmaMale · 第6名</x:t>
  </x:si>
  <x:si>
    <x:t xml:space="preserve">Esper Goryo's · GigaChadSigmaMale · Rank 6</x:t>
  </x:si>
  <x:si>
    <x:t xml:space="preserve">https://jacelber.github.io/mtgo-data/index.html?format=modern&amp;product=mtgo-top8&amp;week=2026-W33&amp;detail=12851660%3A6&amp;lang=zh</x:t>
  </x:si>
  <x:si>
    <x:t xml:space="preserve">Five-Color Elementals</x:t>
  </x:si>
  <x:si>
    <x:t xml:space="preserve">albertosd87</x:t>
  </x:si>
  <x:si>
    <x:t xml:space="preserve">deck:357a3602c2494f2eed24</x:t>
  </x:si>
  <x:si>
    <x:t xml:space="preserve">Five-Color Elementals · albertosd87 · 第7名</x:t>
  </x:si>
  <x:si>
    <x:t xml:space="preserve">Five-Color Elementals · albertosd87 · Rank 7</x:t>
  </x:si>
  <x:si>
    <x:t xml:space="preserve">https://jacelber.github.io/mtgo-data/index.html?format=modern&amp;product=mtgo-top8&amp;week=2026-W33&amp;detail=12851660%3A7&amp;lang=zh</x:t>
  </x:si>
  <x:si>
    <x:t xml:space="preserve">benbot9003</x:t>
  </x:si>
  <x:si>
    <x:t xml:space="preserve">deck:842fbfac208e0eb8c72f</x:t>
  </x:si>
  <x:si>
    <x:t xml:space="preserve">Eldrazi Tron · benbot9003 · 第8名</x:t>
  </x:si>
  <x:si>
    <x:t xml:space="preserve">Eldrazi Tron · benbot9003 · Rank 8</x:t>
  </x:si>
  <x:si>
    <x:t xml:space="preserve">https://jacelber.github.io/mtgo-data/index.html?format=modern&amp;product=mtgo-top8&amp;week=2026-W33&amp;detail=12851660%3A8&amp;lang=zh</x:t>
  </x:si>
  <x:si>
    <x:t xml:space="preserve">Hollowvine</x:t>
  </x:si>
  <x:si>
    <x:t xml:space="preserve">_Chamytinho_</x:t>
  </x:si>
  <x:si>
    <x:t xml:space="preserve">deck:b8cab7f8178add8cce54</x:t>
  </x:si>
  <x:si>
    <x:t xml:space="preserve">Hollowvine · _Chamytinho_ · 第2名</x:t>
  </x:si>
  <x:si>
    <x:t xml:space="preserve">Hollowvine · _Chamytinho_ · Rank 2</x:t>
  </x:si>
  <x:si>
    <x:t xml:space="preserve">https://jacelber.github.io/mtgo-data/index.html?format=modern&amp;product=mtgo-top8&amp;week=2026-W33&amp;detail=12851608%3A2&amp;lang=zh</x:t>
  </x:si>
  <x:si>
    <x:t xml:space="preserve">Prim3Time</x:t>
  </x:si>
  <x:si>
    <x:t xml:space="preserve">deck:04071b4107fbbcc608ea</x:t>
  </x:si>
  <x:si>
    <x:t xml:space="preserve">Necrodominance · Prim3Time · 第3名</x:t>
  </x:si>
  <x:si>
    <x:t xml:space="preserve">Necrodominance · Prim3Time · Rank 3</x:t>
  </x:si>
  <x:si>
    <x:t xml:space="preserve">https://jacelber.github.io/mtgo-data/index.html?format=modern&amp;product=mtgo-top8&amp;week=2026-W33&amp;detail=12851608%3A3&amp;lang=zh</x:t>
  </x:si>
  <x:si>
    <x:t xml:space="preserve">Vrym</x:t>
  </x:si>
  <x:si>
    <x:t xml:space="preserve">deck:5ebb3b2351a4f40642c8</x:t>
  </x:si>
  <x:si>
    <x:t xml:space="preserve">Prowess · Vrym · 第4名</x:t>
  </x:si>
  <x:si>
    <x:t xml:space="preserve">Prowess · Vrym · Rank 4</x:t>
  </x:si>
  <x:si>
    <x:t xml:space="preserve">https://jacelber.github.io/mtgo-data/index.html?format=modern&amp;product=mtgo-top8&amp;week=2026-W33&amp;detail=12851608%3A4&amp;lang=zh</x:t>
  </x:si>
  <x:si>
    <x:t xml:space="preserve">deck:b44bce61e8b5d6bc4a09</x:t>
  </x:si>
  <x:si>
    <x:t xml:space="preserve">Izzet Steel-Cutter · bestdraveneu · 第5名</x:t>
  </x:si>
  <x:si>
    <x:t xml:space="preserve">Izzet Steel-Cutter · bestdraveneu · Rank 5</x:t>
  </x:si>
  <x:si>
    <x:t xml:space="preserve">https://jacelber.github.io/mtgo-data/index.html?format=modern&amp;product=mtgo-top8&amp;week=2026-W33&amp;detail=12851608%3A5&amp;lang=zh</x:t>
  </x:si>
  <x:si>
    <x:t xml:space="preserve">deck:d36ff2875766eb6c8048</x:t>
  </x:si>
  <x:si>
    <x:t xml:space="preserve">Esper Goryo's · Rvng · 第6名</x:t>
  </x:si>
  <x:si>
    <x:t xml:space="preserve">Esper Goryo's · Rvng · Rank 6</x:t>
  </x:si>
  <x:si>
    <x:t xml:space="preserve">https://jacelber.github.io/mtgo-data/index.html?format=modern&amp;product=mtgo-top8&amp;week=2026-W33&amp;detail=12851608%3A6&amp;lang=zh</x:t>
  </x:si>
  <x:si>
    <x:t xml:space="preserve">Fling Goyf</x:t>
  </x:si>
  <x:si>
    <x:t xml:space="preserve">Gerschi</x:t>
  </x:si>
  <x:si>
    <x:t xml:space="preserve">deck:0637a4f0d1d06022c108</x:t>
  </x:si>
  <x:si>
    <x:t xml:space="preserve">Fling Goyf · Gerschi · 第7名</x:t>
  </x:si>
  <x:si>
    <x:t xml:space="preserve">Fling Goyf · Gerschi · Rank 7</x:t>
  </x:si>
  <x:si>
    <x:t xml:space="preserve">https://jacelber.github.io/mtgo-data/index.html?format=modern&amp;product=mtgo-top8&amp;week=2026-W33&amp;detail=12851608%3A7&amp;lang=zh</x:t>
  </x:si>
  <x:si>
    <x:t xml:space="preserve">Iaashadow</x:t>
  </x:si>
  <x:si>
    <x:t xml:space="preserve">deck:b5eeb58c24488a8b21a9</x:t>
  </x:si>
  <x:si>
    <x:t xml:space="preserve">Broodscale Combo · Iaashadow · 第8名</x:t>
  </x:si>
  <x:si>
    <x:t xml:space="preserve">Broodscale Combo · Iaashadow · Rank 8</x:t>
  </x:si>
  <x:si>
    <x:t xml:space="preserve">https://jacelber.github.io/mtgo-data/index.html?format=modern&amp;product=mtgo-top8&amp;week=2026-W33&amp;detail=12851608%3A8&amp;lang=zh</x:t>
  </x:si>
  <x:si>
    <x:t xml:space="preserve">Modern Challenge 64 · 12851665</x:t>
  </x:si>
  <x:si>
    <x:t xml:space="preserve">deck:578d0779f12cbe56a821</x:t>
  </x:si>
  <x:si>
    <x:t xml:space="preserve">Esper Goryo's · DskBayWolf · 第1名</x:t>
  </x:si>
  <x:si>
    <x:t xml:space="preserve">Esper Goryo's · DskBayWolf · Rank 1</x:t>
  </x:si>
  <x:si>
    <x:t xml:space="preserve">https://jacelber.github.io/mtgo-data/index.html?format=modern&amp;product=mtgo-top8&amp;week=2026-W33&amp;detail=12851665%3A1&amp;lang=zh</x:t>
  </x:si>
  <x:si>
    <x:t xml:space="preserve">deck:e779047df8bfd85b8537</x:t>
  </x:si>
  <x:si>
    <x:t xml:space="preserve">https://jacelber.github.io/mtgo-data/index.html?format=modern&amp;product=mtgo-top8&amp;week=2026-W33&amp;detail=12851665%3A2&amp;lang=zh</x:t>
  </x:si>
  <x:si>
    <x:t xml:space="preserve">EnderW</x:t>
  </x:si>
  <x:si>
    <x:t xml:space="preserve">deck:61d9d056de860028b603</x:t>
  </x:si>
  <x:si>
    <x:t xml:space="preserve">Ruby Storm · EnderW · 第3名</x:t>
  </x:si>
  <x:si>
    <x:t xml:space="preserve">Ruby Storm · EnderW · Rank 3</x:t>
  </x:si>
  <x:si>
    <x:t xml:space="preserve">https://jacelber.github.io/mtgo-data/index.html?format=modern&amp;product=mtgo-top8&amp;week=2026-W33&amp;detail=12851665%3A3&amp;lang=zh</x:t>
  </x:si>
  <x:si>
    <x:t xml:space="preserve">Eldrazi Ramp</x:t>
  </x:si>
  <x:si>
    <x:t xml:space="preserve">Lightspirit</x:t>
  </x:si>
  <x:si>
    <x:t xml:space="preserve">deck:479db074d58ca523f9a3</x:t>
  </x:si>
  <x:si>
    <x:t xml:space="preserve">Eldrazi Ramp · Lightspirit · 第4名</x:t>
  </x:si>
  <x:si>
    <x:t xml:space="preserve">Eldrazi Ramp · Lightspirit · Rank 4</x:t>
  </x:si>
  <x:si>
    <x:t xml:space="preserve">https://jacelber.github.io/mtgo-data/index.html?format=modern&amp;product=mtgo-top8&amp;week=2026-W33&amp;detail=12851665%3A4&amp;lang=zh</x:t>
  </x:si>
  <x:si>
    <x:t xml:space="preserve">deck:36224aab1596888618c2</x:t>
  </x:si>
  <x:si>
    <x:t xml:space="preserve">Eldrazi Tron · gazmon48 · 第5名</x:t>
  </x:si>
  <x:si>
    <x:t xml:space="preserve">Eldrazi Tron · gazmon48 · Rank 5</x:t>
  </x:si>
  <x:si>
    <x:t xml:space="preserve">https://jacelber.github.io/mtgo-data/index.html?format=modern&amp;product=mtgo-top8&amp;week=2026-W33&amp;detail=12851665%3A5&amp;lang=zh</x:t>
  </x:si>
  <x:si>
    <x:t xml:space="preserve">deck:e2bbf4afbbd3ac0f5b01</x:t>
  </x:si>
  <x:si>
    <x:t xml:space="preserve">Mono-Blue Belcher · JustAnotherGuy83 · 第6名</x:t>
  </x:si>
  <x:si>
    <x:t xml:space="preserve">Mono-Blue Belcher · JustAnotherGuy83 · Rank 6</x:t>
  </x:si>
  <x:si>
    <x:t xml:space="preserve">https://jacelber.github.io/mtgo-data/index.html?format=modern&amp;product=mtgo-top8&amp;week=2026-W33&amp;detail=12851665%3A6&amp;lang=zh</x:t>
  </x:si>
  <x:si>
    <x:t xml:space="preserve">Fight Rigging</x:t>
  </x:si>
  <x:si>
    <x:t xml:space="preserve">CNewman</x:t>
  </x:si>
  <x:si>
    <x:t xml:space="preserve">deck:5c35e1ccbdd273b1b699</x:t>
  </x:si>
  <x:si>
    <x:t xml:space="preserve">Fight Rigging · CNewman · 第7名</x:t>
  </x:si>
  <x:si>
    <x:t xml:space="preserve">Fight Rigging · CNewman · Rank 7</x:t>
  </x:si>
  <x:si>
    <x:t xml:space="preserve">https://jacelber.github.io/mtgo-data/index.html?format=modern&amp;product=mtgo-top8&amp;week=2026-W33&amp;detail=12851665%3A7&amp;lang=zh</x:t>
  </x:si>
  <x:si>
    <x:t xml:space="preserve">acelerado440</x:t>
  </x:si>
  <x:si>
    <x:t xml:space="preserve">deck:59539b980d0a33286924</x:t>
  </x:si>
  <x:si>
    <x:t xml:space="preserve">Esper Blink · acelerado440 · 第8名</x:t>
  </x:si>
  <x:si>
    <x:t xml:space="preserve">Esper Blink · acelerado440 · Rank 8</x:t>
  </x:si>
  <x:si>
    <x:t xml:space="preserve">https://jacelber.github.io/mtgo-data/index.html?format=modern&amp;product=mtgo-top8&amp;week=2026-W33&amp;detail=12851665%3A8&amp;lang=zh</x:t>
  </x:si>
  <x:si>
    <x:t xml:space="preserve">Modern Challenge 64 · 12851672</x:t>
  </x:si>
  <x:si>
    <x:t xml:space="preserve">E90_DeliveryBoy</x:t>
  </x:si>
  <x:si>
    <x:t xml:space="preserve">deck:43c7848e49547d6cda26</x:t>
  </x:si>
  <x:si>
    <x:t xml:space="preserve">Mono-Blue Belcher · E90_DeliveryBoy · 第1名</x:t>
  </x:si>
  <x:si>
    <x:t xml:space="preserve">Mono-Blue Belcher · E90_DeliveryBoy · Rank 1</x:t>
  </x:si>
  <x:si>
    <x:t xml:space="preserve">https://jacelber.github.io/mtgo-data/index.html?format=modern&amp;product=mtgo-top8&amp;week=2026-W33&amp;detail=12851672%3A1&amp;lang=zh</x:t>
  </x:si>
  <x:si>
    <x:t xml:space="preserve">niuwaid001</x:t>
  </x:si>
  <x:si>
    <x:t xml:space="preserve">deck:cd4afbb1c984e8cd97ac</x:t>
  </x:si>
  <x:si>
    <x:t xml:space="preserve">Living End · niuwaid001 · 第2名</x:t>
  </x:si>
  <x:si>
    <x:t xml:space="preserve">Living End · niuwaid001 · Rank 2</x:t>
  </x:si>
  <x:si>
    <x:t xml:space="preserve">https://jacelber.github.io/mtgo-data/index.html?format=modern&amp;product=mtgo-top8&amp;week=2026-W33&amp;detail=12851672%3A2&amp;lang=zh</x:t>
  </x:si>
  <x:si>
    <x:t xml:space="preserve">deck:8d72e89ee8fe0e5063bb</x:t>
  </x:si>
  <x:si>
    <x:t xml:space="preserve">Eldrazi Tron · benbot9003 · 第3名</x:t>
  </x:si>
  <x:si>
    <x:t xml:space="preserve">Eldrazi Tron · benbot9003 · Rank 3</x:t>
  </x:si>
  <x:si>
    <x:t xml:space="preserve">https://jacelber.github.io/mtgo-data/index.html?format=modern&amp;product=mtgo-top8&amp;week=2026-W33&amp;detail=12851672%3A3&amp;lang=zh</x:t>
  </x:si>
  <x:si>
    <x:t xml:space="preserve">eclipse4343</x:t>
  </x:si>
  <x:si>
    <x:t xml:space="preserve">deck:e47adecc411155488012</x:t>
  </x:si>
  <x:si>
    <x:t xml:space="preserve">Chant Control · eclipse4343 · 第4名</x:t>
  </x:si>
  <x:si>
    <x:t xml:space="preserve">Chant Control · eclipse4343 · Rank 4</x:t>
  </x:si>
  <x:si>
    <x:t xml:space="preserve">https://jacelber.github.io/mtgo-data/index.html?format=modern&amp;product=mtgo-top8&amp;week=2026-W33&amp;detail=12851672%3A4&amp;lang=zh</x:t>
  </x:si>
  <x:si>
    <x:t xml:space="preserve">jussupinator</x:t>
  </x:si>
  <x:si>
    <x:t xml:space="preserve">deck:e50fa1a3f7f0929dec36</x:t>
  </x:si>
  <x:si>
    <x:t xml:space="preserve">Esper Goryo's · jussupinator · 第5名</x:t>
  </x:si>
  <x:si>
    <x:t xml:space="preserve">Esper Goryo's · jussupinator · Rank 5</x:t>
  </x:si>
  <x:si>
    <x:t xml:space="preserve">https://jacelber.github.io/mtgo-data/index.html?format=modern&amp;product=mtgo-top8&amp;week=2026-W33&amp;detail=12851672%3A5&amp;lang=zh</x:t>
  </x:si>
  <x:si>
    <x:t xml:space="preserve">deck:1d1257331d67fe790037</x:t>
  </x:si>
  <x:si>
    <x:t xml:space="preserve">Eldrazi Ramp · manohito · 第6名</x:t>
  </x:si>
  <x:si>
    <x:t xml:space="preserve">Eldrazi Ramp · manohito · Rank 6</x:t>
  </x:si>
  <x:si>
    <x:t xml:space="preserve">https://jacelber.github.io/mtgo-data/index.html?format=modern&amp;product=mtgo-top8&amp;week=2026-W33&amp;detail=12851672%3A6&amp;lang=zh</x:t>
  </x:si>
  <x:si>
    <x:t xml:space="preserve">emairi</x:t>
  </x:si>
  <x:si>
    <x:t xml:space="preserve">deck:7b3c4d462b8b1dad8292</x:t>
  </x:si>
  <x:si>
    <x:t xml:space="preserve">Prowess · emairi · 第7名</x:t>
  </x:si>
  <x:si>
    <x:t xml:space="preserve">Prowess · emairi · Rank 7</x:t>
  </x:si>
  <x:si>
    <x:t xml:space="preserve">https://jacelber.github.io/mtgo-data/index.html?format=modern&amp;product=mtgo-top8&amp;week=2026-W33&amp;detail=12851672%3A7&amp;lang=zh</x:t>
  </x:si>
  <x:si>
    <x:t xml:space="preserve">DrewEldon</x:t>
  </x:si>
  <x:si>
    <x:t xml:space="preserve">deck:a2c657854b07ee03f4c0</x:t>
  </x:si>
  <x:si>
    <x:t xml:space="preserve">Dimir Tempo · DrewEldon · 第8名</x:t>
  </x:si>
  <x:si>
    <x:t xml:space="preserve">Dimir Tempo · DrewEldon · Rank 8</x:t>
  </x:si>
  <x:si>
    <x:t xml:space="preserve">https://jacelber.github.io/mtgo-data/index.html?format=modern&amp;product=mtgo-top8&amp;week=2026-W33&amp;detail=12851672%3A8&amp;lang=zh</x:t>
  </x:si>
  <x:si>
    <x:t xml:space="preserve">Modern Challenge 64 · 12851676</x:t>
  </x:si>
  <x:si>
    <x:t xml:space="preserve">Xenowan</x:t>
  </x:si>
  <x:si>
    <x:t xml:space="preserve">deck:f2aecc4bf47962a54d65</x:t>
  </x:si>
  <x:si>
    <x:t xml:space="preserve">Hollowvine · Xenowan · 第1名</x:t>
  </x:si>
  <x:si>
    <x:t xml:space="preserve">Hollowvine · Xenowan · Rank 1</x:t>
  </x:si>
  <x:si>
    <x:t xml:space="preserve">https://jacelber.github.io/mtgo-data/index.html?format=modern&amp;product=mtgo-top8&amp;week=2026-W33&amp;detail=12851676%3A1&amp;lang=zh</x:t>
  </x:si>
  <x:si>
    <x:t xml:space="preserve">thodoris17</x:t>
  </x:si>
  <x:si>
    <x:t xml:space="preserve">deck:fb47b8f68e2c698653a7</x:t>
  </x:si>
  <x:si>
    <x:t xml:space="preserve">Esper Blink · thodoris17 · 第2名</x:t>
  </x:si>
  <x:si>
    <x:t xml:space="preserve">Esper Blink · thodoris17 · Rank 2</x:t>
  </x:si>
  <x:si>
    <x:t xml:space="preserve">https://jacelber.github.io/mtgo-data/index.html?format=modern&amp;product=mtgo-top8&amp;week=2026-W33&amp;detail=12851676%3A2&amp;lang=zh</x:t>
  </x:si>
  <x:si>
    <x:t xml:space="preserve">ryuumei</x:t>
  </x:si>
  <x:si>
    <x:t xml:space="preserve">deck:5531a2049df2d41f8fd4</x:t>
  </x:si>
  <x:si>
    <x:t xml:space="preserve">Domain Zoo · ryuumei · 第3名</x:t>
  </x:si>
  <x:si>
    <x:t xml:space="preserve">Domain Zoo · ryuumei · Rank 3</x:t>
  </x:si>
  <x:si>
    <x:t xml:space="preserve">https://jacelber.github.io/mtgo-data/index.html?format=modern&amp;product=mtgo-top8&amp;week=2026-W33&amp;detail=12851676%3A3&amp;lang=zh</x:t>
  </x:si>
  <x:si>
    <x:t xml:space="preserve">JahBoodle</x:t>
  </x:si>
  <x:si>
    <x:t xml:space="preserve">deck:395d0dd5c064a26a7bb2</x:t>
  </x:si>
  <x:si>
    <x:t xml:space="preserve">Esper Blink · JahBoodle · 第4名</x:t>
  </x:si>
  <x:si>
    <x:t xml:space="preserve">Esper Blink · JahBoodle · Rank 4</x:t>
  </x:si>
  <x:si>
    <x:t xml:space="preserve">https://jacelber.github.io/mtgo-data/index.html?format=modern&amp;product=mtgo-top8&amp;week=2026-W33&amp;detail=12851676%3A4&amp;lang=zh</x:t>
  </x:si>
  <x:si>
    <x:t xml:space="preserve">deck:04357c85bf0bbeb4cc97</x:t>
  </x:si>
  <x:si>
    <x:t xml:space="preserve">Necrodominance · SanPop · 第5名</x:t>
  </x:si>
  <x:si>
    <x:t xml:space="preserve">Necrodominance · SanPop · Rank 5</x:t>
  </x:si>
  <x:si>
    <x:t xml:space="preserve">https://jacelber.github.io/mtgo-data/index.html?format=modern&amp;product=mtgo-top8&amp;week=2026-W33&amp;detail=12851676%3A5&amp;lang=zh</x:t>
  </x:si>
  <x:si>
    <x:t xml:space="preserve">deck:b469b4b0f3300b68982c</x:t>
  </x:si>
  <x:si>
    <x:t xml:space="preserve">Esper Blink · acelerado440 · 第6名</x:t>
  </x:si>
  <x:si>
    <x:t xml:space="preserve">Esper Blink · acelerado440 · Rank 6</x:t>
  </x:si>
  <x:si>
    <x:t xml:space="preserve">https://jacelber.github.io/mtgo-data/index.html?format=modern&amp;product=mtgo-top8&amp;week=2026-W33&amp;detail=12851676%3A6&amp;lang=zh</x:t>
  </x:si>
  <x:si>
    <x:t xml:space="preserve">Oculus Ritual</x:t>
  </x:si>
  <x:si>
    <x:t xml:space="preserve">STURSY</x:t>
  </x:si>
  <x:si>
    <x:t xml:space="preserve">deck:f8f65d8ddfb4b9a24d95</x:t>
  </x:si>
  <x:si>
    <x:t xml:space="preserve">Oculus Ritual · STURSY · 第7名</x:t>
  </x:si>
  <x:si>
    <x:t xml:space="preserve">Oculus Ritual · STURSY · Rank 7</x:t>
  </x:si>
  <x:si>
    <x:t xml:space="preserve">https://jacelber.github.io/mtgo-data/index.html?format=modern&amp;product=mtgo-top8&amp;week=2026-W33&amp;detail=12851676%3A7&amp;lang=zh</x:t>
  </x:si>
  <x:si>
    <x:t xml:space="preserve">Grixis Persist</x:t>
  </x:si>
  <x:si>
    <x:t xml:space="preserve">yolad</x:t>
  </x:si>
  <x:si>
    <x:t xml:space="preserve">deck:b4641538f76eae8b4f50</x:t>
  </x:si>
  <x:si>
    <x:t xml:space="preserve">Grixis Persist · yolad · 第8名</x:t>
  </x:si>
  <x:si>
    <x:t xml:space="preserve">Grixis Persist · yolad · Rank 8</x:t>
  </x:si>
  <x:si>
    <x:t xml:space="preserve">https://jacelber.github.io/mtgo-data/index.html?format=modern&amp;product=mtgo-top8&amp;week=2026-W33&amp;detail=12851676%3A8&amp;lang=zh</x:t>
  </x:si>
  <x:si>
    <x:t xml:space="preserve">Field Guide · only fields the Owner needs to enter or review</x:t>
  </x:si>
  <x:si>
    <x:t xml:space="preserve">蓝色 = 自动工作流冻结数据或只读分类器身份；绿色 = Codex 提案或英文草稿；黄色 = 用户输入或最终审核。机器草稿不限制人工结论，用户可以完全改写、删除重写或写无关内容。</x:t>
  </x:si>
  <x:si>
    <x:t xml:space="preserve">Sheet</x:t>
  </x:si>
  <x:si>
    <x:t xml:space="preserve">Field / Area</x:t>
  </x:si>
  <x:si>
    <x:t xml:space="preserve">Responsible</x:t>
  </x:si>
  <x:si>
    <x:t xml:space="preserve">How to use it</x:t>
  </x:si>
  <x:si>
    <x:t xml:space="preserve">Review Control</x:t>
  </x:si>
  <x:si>
    <x:t xml:space="preserve">Five separate review fields</x:t>
  </x:si>
  <x:si>
    <x:t xml:space="preserve">用户</x:t>
  </x:si>
  <x:si>
    <x:t xml:space="preserve">Top Copy、Feature、Chinese Copy、Bilingual Name、English 分开审核；完成后分别改为 APPROVED。</x:t>
  </x:si>
  <x:si>
    <x:t xml:space="preserve">Landing Copy</x:t>
  </x:si>
  <x:si>
    <x:t xml:space="preserve">Review Result / Order / Chinese Copy</x:t>
  </x:si>
  <x:si>
    <x:t xml:space="preserve">v4 内容原样保留。KEEP 保留；DROP 删除；Order 分赛制排列；正文可完全改写，Deck Link ID 放在链接出现位置。</x:t>
  </x:si>
  <x:si>
    <x:t xml:space="preserve">English Draft / Final</x:t>
  </x:si>
  <x:si>
    <x:t xml:space="preserve">Codex / 用户</x:t>
  </x:si>
  <x:si>
    <x:t xml:space="preserve">v4 已确认内容原样保留；用户可在 English Final 完全改写。</x:t>
  </x:si>
  <x:si>
    <x:t xml:space="preserve">Deck references</x:t>
  </x:si>
  <x:si>
    <x:t xml:space="preserve">自动工作流</x:t>
  </x:si>
  <x:si>
    <x:t xml:space="preserve">同页列出正文套牌的日期、名次、套牌名、牌手、Deck Link ID、显示文字和网址。</x:t>
  </x:si>
  <x:si>
    <x:t xml:space="preserve">Featured Decks</x:t>
  </x:si>
  <x:si>
    <x:t xml:space="preserve">Selection / Category</x:t>
  </x:si>
  <x:si>
    <x:t xml:space="preserve">KEEP 保留底部 Feature；Category 仅区分 new_deck 与 new_technology。</x:t>
  </x:si>
  <x:si>
    <x:t xml:space="preserve">Deck Name EN / ZH / Name Status</x:t>
  </x:si>
  <x:si>
    <x:t xml:space="preserve">分类器 / 双语目录</x:t>
  </x:si>
  <x:si>
    <x:t xml:space="preserve">只读公式，直接引用 Bilingual Names。未审核时中文显示提案，同时 Name Status 保持 NEEDS OWNER REVIEW。</x:t>
  </x:si>
  <x:si>
    <x:t xml:space="preserve">Automatic order</x:t>
  </x:si>
  <x:si>
    <x:t xml:space="preserve">同一赛制先 new_deck 后 new_technology；类别内按 Landing 顶端 KEEP 正文的链接顺序，正文未出现者追加在类别末尾。</x:t>
  </x:si>
  <x:si>
    <x:t xml:space="preserve">底部精选套牌的中文说明；v4 中用户填写内容原样保留。</x:t>
  </x:si>
  <x:si>
    <x:t xml:space="preserve">Featured Card 1–4</x:t>
  </x:si>
  <x:si>
    <x:t xml:space="preserve">四张牌必须互不重复，并来自该行 Main Deck 或 Sideboard 的精确牌表；本版已重新核验。</x:t>
  </x:si>
  <x:si>
    <x:t xml:space="preserve">Parent / Subtype / Identity Key</x:t>
  </x:si>
  <x:si>
    <x:t xml:space="preserve">分类器</x:t>
  </x:si>
  <x:si>
    <x:t xml:space="preserve">Y–AA 只读，用于证明标题与分类器身份的绑定；每周不需要填写。</x:t>
  </x:si>
  <x:si>
    <x:t xml:space="preserve">Bilingual Names</x:t>
  </x:si>
  <x:si>
    <x:t xml:space="preserve">English identity fields</x:t>
  </x:si>
  <x:si>
    <x:t xml:space="preserve">Format、Parent ID、Subtype ID 与英文名称只读，覆盖当前 240 个父类别和 83 个子类别，共 323 个前端显示身份。</x:t>
  </x:si>
  <x:si>
    <x:t xml:space="preserve">Chinese Proposal</x:t>
  </x:si>
  <x:si>
    <x:t xml:space="preserve">Codex</x:t>
  </x:si>
  <x:si>
    <x:t xml:space="preserve">绿色初稿；仅用于降低首次审核工作量，不构成人工结论。</x:t>
  </x:si>
  <x:si>
    <x:t xml:space="preserve">Chinese Final / Review Result</x:t>
  </x:si>
  <x:si>
    <x:t xml:space="preserve">All Top 8</x:t>
  </x:si>
  <x:si>
    <x:t xml:space="preserve">Add to Featured? / Owner Note</x:t>
  </x:si>
  <x:si>
    <x:t xml:space="preserve">v4 内容原样保留；未预选牌表也可标为 ADD。</x:t>
  </x:si>
  <x:si>
    <x:t xml:space="preserve">P12-15C · Complete parent / subtype bilingual name review</x:t>
  </x:si>
  <x:si>
    <x:t xml:space="preserve">本版保留 v5 中全部 299 个用户中文最终名称与审核结果，并补入 24 个此前遗漏的父类别。Subtype ID 为空的行就是父类别；新增父类别已放在对应子类别之前。请只审核这些 Chinese Final 仍为空、Review Result 为 PENDING 的 24 行。</x:t>
  </x:si>
  <x:si>
    <x:t xml:space="preserve">Parent Name EN</x:t>
  </x:si>
  <x:si>
    <x:t xml:space="preserve">Subtype Name EN</x:t>
  </x:si>
  <x:si>
    <x:t xml:space="preserve">Display Name EN</x:t>
  </x:si>
  <x:si>
    <x:t xml:space="preserve">Chinese Final</x:t>
  </x:si>
  <x:si>
    <x:t xml:space="preserve">Effective Chinese</x:t>
  </x:si>
  <x:si>
    <x:t xml:space="preserve">izzet-monument</x:t>
  </x:si>
  <x:si>
    <x:t xml:space="preserve">Izzet Monument</x:t>
  </x:si>
  <x:si>
    <x:t xml:space="preserve">蓝红纪念碑</x:t>
  </x:si>
  <x:si>
    <x:t xml:space="preserve">红蓝纪念碑</x:t>
  </x:si>
  <x:si>
    <x:t xml:space="preserve">APPROVED</x:t>
  </x:si>
  <x:si>
    <x:t xml:space="preserve">standard|izzet-monument|none</x:t>
  </x:si>
  <x:si>
    <x:t xml:space="preserve">dimir-bounce</x:t>
  </x:si>
  <x:si>
    <x:t xml:space="preserve">Dimir Bounce</x:t>
  </x:si>
  <x:si>
    <x:t xml:space="preserve">蓝黑回手</x:t>
  </x:si>
  <x:si>
    <x:t xml:space="preserve">standard|dimir-bounce|none</x:t>
  </x:si>
  <x:si>
    <x:t xml:space="preserve">蓝白救援</x:t>
  </x:si>
  <x:si>
    <x:t xml:space="preserve">temur-stormsplitter</x:t>
  </x:si>
  <x:si>
    <x:t xml:space="preserve">Temur Stormsplitter</x:t>
  </x:si>
  <x:si>
    <x:t xml:space="preserve">铁木尔 Stormsplitter</x:t>
  </x:si>
  <x:si>
    <x:t xml:space="preserve">铁木尔劈风师</x:t>
  </x:si>
  <x:si>
    <x:t xml:space="preserve">standard|temur-stormsplitter|none</x:t>
  </x:si>
  <x:si>
    <x:t xml:space="preserve">格利极石板</x:t>
  </x:si>
  <x:si>
    <x:t xml:space="preserve">dwarves</x:t>
  </x:si>
  <x:si>
    <x:t xml:space="preserve">Dwarves</x:t>
  </x:si>
  <x:si>
    <x:t xml:space="preserve">矮人</x:t>
  </x:si>
  <x:si>
    <x:t xml:space="preserve">standard|dwarves|none</x:t>
  </x:si>
  <x:si>
    <x:t xml:space="preserve">izzet</x:t>
  </x:si>
  <x:si>
    <x:t xml:space="preserve">Izzet</x:t>
  </x:si>
  <x:si>
    <x:t xml:space="preserve">Izzet Dwarves</x:t>
  </x:si>
  <x:si>
    <x:t xml:space="preserve">蓝红矮人</x:t>
  </x:si>
  <x:si>
    <x:t xml:space="preserve">红蓝矮人</x:t>
  </x:si>
  <x:si>
    <x:t xml:space="preserve">standard|dwarves|izzet</x:t>
  </x:si>
  <x:si>
    <x:t xml:space="preserve">boros</x:t>
  </x:si>
  <x:si>
    <x:t xml:space="preserve">Boros</x:t>
  </x:si>
  <x:si>
    <x:t xml:space="preserve">Boros Dwarves</x:t>
  </x:si>
  <x:si>
    <x:t xml:space="preserve">红白矮人</x:t>
  </x:si>
  <x:si>
    <x:t xml:space="preserve">standard|dwarves|boros</x:t>
  </x:si>
  <x:si>
    <x:t xml:space="preserve">monument-lessons</x:t>
  </x:si>
  <x:si>
    <x:t xml:space="preserve">Monument Lessons</x:t>
  </x:si>
  <x:si>
    <x:t xml:space="preserve">纪念碑课程</x:t>
  </x:si>
  <x:si>
    <x:t xml:space="preserve">课程纪念碑</x:t>
  </x:si>
  <x:si>
    <x:t xml:space="preserve">standard|monument-lessons|none</x:t>
  </x:si>
  <x:si>
    <x:t xml:space="preserve">洁斯凯石板课</x:t>
  </x:si>
  <x:si>
    <x:t xml:space="preserve">洁斯凯课程</x:t>
  </x:si>
  <x:si>
    <x:t xml:space="preserve">izzet-lessons</x:t>
  </x:si>
  <x:si>
    <x:t xml:space="preserve">Izzet Lessons</x:t>
  </x:si>
  <x:si>
    <x:t xml:space="preserve">蓝红课程</x:t>
  </x:si>
  <x:si>
    <x:t xml:space="preserve">红蓝课程</x:t>
  </x:si>
  <x:si>
    <x:t xml:space="preserve">standard|izzet-lessons|none</x:t>
  </x:si>
  <x:si>
    <x:t xml:space="preserve">纯绿地落</x:t>
  </x:si>
  <x:si>
    <x:t xml:space="preserve">gruul-landfall</x:t>
  </x:si>
  <x:si>
    <x:t xml:space="preserve">Gruul Landfall</x:t>
  </x:si>
  <x:si>
    <x:t xml:space="preserve">红绿地落</x:t>
  </x:si>
  <x:si>
    <x:t xml:space="preserve">standard|gruul-landfall|none</x:t>
  </x:si>
  <x:si>
    <x:t xml:space="preserve">绿白地落</x:t>
  </x:si>
  <x:si>
    <x:t xml:space="preserve">白绿地落</x:t>
  </x:si>
  <x:si>
    <x:t xml:space="preserve">dimir-excruciator</x:t>
  </x:si>
  <x:si>
    <x:t xml:space="preserve">Dimir拷打魔</x:t>
  </x:si>
  <x:si>
    <x:t xml:space="preserve">蓝黑拷打魔</x:t>
  </x:si>
  <x:si>
    <x:t xml:space="preserve">standard|dimir-excruciator|none</x:t>
  </x:si>
  <x:si>
    <x:t xml:space="preserve">bant-rhythm</x:t>
  </x:si>
  <x:si>
    <x:t xml:space="preserve">Bant Rhythm</x:t>
  </x:si>
  <x:si>
    <x:t xml:space="preserve">班特 Rhythm</x:t>
  </x:si>
  <x:si>
    <x:t xml:space="preserve">班特韵律</x:t>
  </x:si>
  <x:si>
    <x:t xml:space="preserve">standard|bant-rhythm|none</x:t>
  </x:si>
  <x:si>
    <x:t xml:space="preserve">simic-rhythm</x:t>
  </x:si>
  <x:si>
    <x:t xml:space="preserve">Simic Rhythm</x:t>
  </x:si>
  <x:si>
    <x:t xml:space="preserve">蓝绿 Rhythm</x:t>
  </x:si>
  <x:si>
    <x:t xml:space="preserve">蓝绿韵律</x:t>
  </x:si>
  <x:si>
    <x:t xml:space="preserve">standard|simic-rhythm|none</x:t>
  </x:si>
  <x:si>
    <x:t xml:space="preserve">selesnya-rhythm</x:t>
  </x:si>
  <x:si>
    <x:t xml:space="preserve">Selesnya Rhythm</x:t>
  </x:si>
  <x:si>
    <x:t xml:space="preserve">绿白 Rhythm</x:t>
  </x:si>
  <x:si>
    <x:t xml:space="preserve">白绿韵律</x:t>
  </x:si>
  <x:si>
    <x:t xml:space="preserve">standard|selesnya-rhythm|none</x:t>
  </x:si>
  <x:si>
    <x:t xml:space="preserve">蓝黑中速</x:t>
  </x:si>
  <x:si>
    <x:t xml:space="preserve">izzet-spellementals</x:t>
  </x:si>
  <x:si>
    <x:t xml:space="preserve">蓝红 Spellementals</x:t>
  </x:si>
  <x:si>
    <x:t xml:space="preserve">红蓝元素</x:t>
  </x:si>
  <x:si>
    <x:t xml:space="preserve">standard|izzet-spellementals|none</x:t>
  </x:si>
  <x:si>
    <x:t xml:space="preserve">mono-blue-spellementals</x:t>
  </x:si>
  <x:si>
    <x:t xml:space="preserve">Mono-Blue Spellementals</x:t>
  </x:si>
  <x:si>
    <x:t xml:space="preserve">纯蓝 Spellementals</x:t>
  </x:si>
  <x:si>
    <x:t xml:space="preserve">纯蓝元素</x:t>
  </x:si>
  <x:si>
    <x:t xml:space="preserve">standard|mono-blue-spellementals|none</x:t>
  </x:si>
  <x:si>
    <x:t xml:space="preserve">temur-elementals</x:t>
  </x:si>
  <x:si>
    <x:t xml:space="preserve">加速元素</x:t>
  </x:si>
  <x:si>
    <x:t xml:space="preserve">standard|temur-elementals|none</x:t>
  </x:si>
  <x:si>
    <x:t xml:space="preserve">temur-tablet</x:t>
  </x:si>
  <x:si>
    <x:t xml:space="preserve">Temur Tablet</x:t>
  </x:si>
  <x:si>
    <x:t xml:space="preserve">铁木尔石板</x:t>
  </x:si>
  <x:si>
    <x:t xml:space="preserve">standard|temur-tablet|none</x:t>
  </x:si>
  <x:si>
    <x:t xml:space="preserve">四色石板</x:t>
  </x:si>
  <x:si>
    <x:t xml:space="preserve">洁斯凯石板</x:t>
  </x:si>
  <x:si>
    <x:t xml:space="preserve">jeskai-control</x:t>
  </x:si>
  <x:si>
    <x:t xml:space="preserve">Jeskai Control</x:t>
  </x:si>
  <x:si>
    <x:t xml:space="preserve">洁斯凯控制</x:t>
  </x:si>
  <x:si>
    <x:t xml:space="preserve">standard|jeskai-control|none</x:t>
  </x:si>
  <x:si>
    <x:t xml:space="preserve">红白龙</x:t>
  </x:si>
  <x:si>
    <x:t xml:space="preserve">纯红龙</x:t>
  </x:si>
  <x:si>
    <x:t xml:space="preserve">boros-token</x:t>
  </x:si>
  <x:si>
    <x:t xml:space="preserve">Boros Token</x:t>
  </x:si>
  <x:si>
    <x:t xml:space="preserve">红白衍生物</x:t>
  </x:si>
  <x:si>
    <x:t xml:space="preserve">standard|boros-token|none</x:t>
  </x:si>
  <x:si>
    <x:t xml:space="preserve">izzet-fling</x:t>
  </x:si>
  <x:si>
    <x:t xml:space="preserve">Izzet Fling</x:t>
  </x:si>
  <x:si>
    <x:t xml:space="preserve">蓝红投掷</x:t>
  </x:si>
  <x:si>
    <x:t xml:space="preserve">红蓝投掷</x:t>
  </x:si>
  <x:si>
    <x:t xml:space="preserve">standard|izzet-fling|none</x:t>
  </x:si>
  <x:si>
    <x:t xml:space="preserve">gruul-fling</x:t>
  </x:si>
  <x:si>
    <x:t xml:space="preserve">Gruul Fling</x:t>
  </x:si>
  <x:si>
    <x:t xml:space="preserve">红绿投掷</x:t>
  </x:si>
  <x:si>
    <x:t xml:space="preserve">standard|gruul-fling|none</x:t>
  </x:si>
  <x:si>
    <x:t xml:space="preserve">izzet-prowess</x:t>
  </x:si>
  <x:si>
    <x:t xml:space="preserve">Izzet Prowess</x:t>
  </x:si>
  <x:si>
    <x:t xml:space="preserve">蓝红灵技</x:t>
  </x:si>
  <x:si>
    <x:t xml:space="preserve">红蓝灵技</x:t>
  </x:si>
  <x:si>
    <x:t xml:space="preserve">standard|izzet-prowess|none</x:t>
  </x:si>
  <x:si>
    <x:t xml:space="preserve">bant-airbending</x:t>
  </x:si>
  <x:si>
    <x:t xml:space="preserve">Bant Airbending</x:t>
  </x:si>
  <x:si>
    <x:t xml:space="preserve">班特 Airbending</x:t>
  </x:si>
  <x:si>
    <x:t xml:space="preserve">班特截气</x:t>
  </x:si>
  <x:si>
    <x:t xml:space="preserve">standard|bant-airbending|none</x:t>
  </x:si>
  <x:si>
    <x:t xml:space="preserve">temur-harmonizer</x:t>
  </x:si>
  <x:si>
    <x:t xml:space="preserve">Temur Harmonizer</x:t>
  </x:si>
  <x:si>
    <x:t xml:space="preserve">铁木尔 Harmonizer</x:t>
  </x:si>
  <x:si>
    <x:t xml:space="preserve">铁木尔谐颂者</x:t>
  </x:si>
  <x:si>
    <x:t xml:space="preserve">standard|temur-harmonizer|none</x:t>
  </x:si>
  <x:si>
    <x:t xml:space="preserve">mono-red-aggro</x:t>
  </x:si>
  <x:si>
    <x:t xml:space="preserve">Mono-Red Aggro</x:t>
  </x:si>
  <x:si>
    <x:t xml:space="preserve">纯红快攻</x:t>
  </x:si>
  <x:si>
    <x:t xml:space="preserve">standard|mono-red-aggro|none</x:t>
  </x:si>
  <x:si>
    <x:t xml:space="preserve">mardu-discard</x:t>
  </x:si>
  <x:si>
    <x:t xml:space="preserve">玛尔都弃牌</x:t>
  </x:si>
  <x:si>
    <x:t xml:space="preserve">standard|mardu-discard|none</x:t>
  </x:si>
  <x:si>
    <x:t xml:space="preserve">rakdos-discard</x:t>
  </x:si>
  <x:si>
    <x:t xml:space="preserve">Rakdos Discard</x:t>
  </x:si>
  <x:si>
    <x:t xml:space="preserve">红黑弃牌</x:t>
  </x:si>
  <x:si>
    <x:t xml:space="preserve">standard|rakdos-discard|none</x:t>
  </x:si>
  <x:si>
    <x:t xml:space="preserve">grixis-discard</x:t>
  </x:si>
  <x:si>
    <x:t xml:space="preserve">Grixis Discard</x:t>
  </x:si>
  <x:si>
    <x:t xml:space="preserve">格利极弃牌</x:t>
  </x:si>
  <x:si>
    <x:t xml:space="preserve">standard|grixis-discard|none</x:t>
  </x:si>
  <x:si>
    <x:t xml:space="preserve">izzet-blink</x:t>
  </x:si>
  <x:si>
    <x:t xml:space="preserve">Izzet Blink</x:t>
  </x:si>
  <x:si>
    <x:t xml:space="preserve">蓝红闪烁</x:t>
  </x:si>
  <x:si>
    <x:t xml:space="preserve">红蓝云移</x:t>
  </x:si>
  <x:si>
    <x:t xml:space="preserve">standard|izzet-blink|none</x:t>
  </x:si>
  <x:si>
    <x:t xml:space="preserve">sultai-reanimator</x:t>
  </x:si>
  <x:si>
    <x:t xml:space="preserve">苏勒台掘坟</x:t>
  </x:si>
  <x:si>
    <x:t xml:space="preserve">standard|sultai-reanimator|none</x:t>
  </x:si>
  <x:si>
    <x:t xml:space="preserve">esper-pixie</x:t>
  </x:si>
  <x:si>
    <x:t xml:space="preserve">Esper Pixie</x:t>
  </x:si>
  <x:si>
    <x:t xml:space="preserve">艾斯波 Pixie</x:t>
  </x:si>
  <x:si>
    <x:t xml:space="preserve">艾斯波回手</x:t>
  </x:si>
  <x:si>
    <x:t xml:space="preserve">standard|esper-pixie|none</x:t>
  </x:si>
  <x:si>
    <x:t xml:space="preserve">dimir-control</x:t>
  </x:si>
  <x:si>
    <x:t xml:space="preserve">Dimir Control</x:t>
  </x:si>
  <x:si>
    <x:t xml:space="preserve">蓝黑控制</x:t>
  </x:si>
  <x:si>
    <x:t xml:space="preserve">standard|dimir-control|none</x:t>
  </x:si>
  <x:si>
    <x:t xml:space="preserve">azorius-control</x:t>
  </x:si>
  <x:si>
    <x:t xml:space="preserve">Azorius Control</x:t>
  </x:si>
  <x:si>
    <x:t xml:space="preserve">蓝白控制</x:t>
  </x:si>
  <x:si>
    <x:t xml:space="preserve">standard|azorius-control|none</x:t>
  </x:si>
  <x:si>
    <x:t xml:space="preserve">mono-white-momo</x:t>
  </x:si>
  <x:si>
    <x:t xml:space="preserve">Mono-White Momo</x:t>
  </x:si>
  <x:si>
    <x:t xml:space="preserve">纯白模模</x:t>
  </x:si>
  <x:si>
    <x:t xml:space="preserve">standard|mono-white-momo|none</x:t>
  </x:si>
  <x:si>
    <x:t xml:space="preserve">洁斯凯模模</x:t>
  </x:si>
  <x:si>
    <x:t xml:space="preserve">azorius-momo</x:t>
  </x:si>
  <x:si>
    <x:t xml:space="preserve">Azorius Momo</x:t>
  </x:si>
  <x:si>
    <x:t xml:space="preserve">蓝白模模</x:t>
  </x:si>
  <x:si>
    <x:t xml:space="preserve">standard|azorius-momo|none</x:t>
  </x:si>
  <x:si>
    <x:t xml:space="preserve">azorius-otters</x:t>
  </x:si>
  <x:si>
    <x:t xml:space="preserve">Azorius Otters</x:t>
  </x:si>
  <x:si>
    <x:t xml:space="preserve">蓝白水獭</x:t>
  </x:si>
  <x:si>
    <x:t xml:space="preserve">standard|azorius-otters|none</x:t>
  </x:si>
  <x:si>
    <x:t xml:space="preserve">golgari-rhythm</x:t>
  </x:si>
  <x:si>
    <x:t xml:space="preserve">Golgari Rhythm</x:t>
  </x:si>
  <x:si>
    <x:t xml:space="preserve">黑绿 Rhythm</x:t>
  </x:si>
  <x:si>
    <x:t xml:space="preserve">黑绿韵律</x:t>
  </x:si>
  <x:si>
    <x:t xml:space="preserve">standard|golgari-rhythm|none</x:t>
  </x:si>
  <x:si>
    <x:t xml:space="preserve">golgari-demon</x:t>
  </x:si>
  <x:si>
    <x:t xml:space="preserve">Golgari Demon</x:t>
  </x:si>
  <x:si>
    <x:t xml:space="preserve">黑绿恶魔</x:t>
  </x:si>
  <x:si>
    <x:t xml:space="preserve">standard|golgari-demon|none</x:t>
  </x:si>
  <x:si>
    <x:t xml:space="preserve">sultai-demon</x:t>
  </x:si>
  <x:si>
    <x:t xml:space="preserve">Sultai Demon</x:t>
  </x:si>
  <x:si>
    <x:t xml:space="preserve">苏勒台恶魔</x:t>
  </x:si>
  <x:si>
    <x:t xml:space="preserve">standard|sultai-demon|none</x:t>
  </x:si>
  <x:si>
    <x:t xml:space="preserve">boros-burn</x:t>
  </x:si>
  <x:si>
    <x:t xml:space="preserve">Boros Burn</x:t>
  </x:si>
  <x:si>
    <x:t xml:space="preserve">红白烧</x:t>
  </x:si>
  <x:si>
    <x:t xml:space="preserve">standard|boros-burn|none</x:t>
  </x:si>
  <x:si>
    <x:t xml:space="preserve">simic-jackal</x:t>
  </x:si>
  <x:si>
    <x:t xml:space="preserve">Simic Jackal</x:t>
  </x:si>
  <x:si>
    <x:t xml:space="preserve">蓝绿 Jackal</x:t>
  </x:si>
  <x:si>
    <x:t xml:space="preserve">蓝绿胡狼</x:t>
  </x:si>
  <x:si>
    <x:t xml:space="preserve">standard|simic-jackal|none</x:t>
  </x:si>
  <x:si>
    <x:t xml:space="preserve">temur-battlecrier</x:t>
  </x:si>
  <x:si>
    <x:t xml:space="preserve">Temur Battlecrier</x:t>
  </x:si>
  <x:si>
    <x:t xml:space="preserve">铁木尔 Battlecrier</x:t>
  </x:si>
  <x:si>
    <x:t xml:space="preserve">铁木尔战呼人</x:t>
  </x:si>
  <x:si>
    <x:t xml:space="preserve">standard|temur-battlecrier|none</x:t>
  </x:si>
  <x:si>
    <x:t xml:space="preserve">izzet-looting</x:t>
  </x:si>
  <x:si>
    <x:t xml:space="preserve">Izzet Looting</x:t>
  </x:si>
  <x:si>
    <x:t xml:space="preserve">蓝红 Looting</x:t>
  </x:si>
  <x:si>
    <x:t xml:space="preserve">红蓝滤牌</x:t>
  </x:si>
  <x:si>
    <x:t xml:space="preserve">standard|izzet-looting|none</x:t>
  </x:si>
  <x:si>
    <x:t xml:space="preserve">jeskai-artifacts</x:t>
  </x:si>
  <x:si>
    <x:t xml:space="preserve">Jeskai Artifacts</x:t>
  </x:si>
  <x:si>
    <x:t xml:space="preserve">洁斯凯神器</x:t>
  </x:si>
  <x:si>
    <x:t xml:space="preserve">standard|jeskai-artifacts|none</x:t>
  </x:si>
  <x:si>
    <x:t xml:space="preserve">leyline-aggro</x:t>
  </x:si>
  <x:si>
    <x:t xml:space="preserve">Leyline Aggro</x:t>
  </x:si>
  <x:si>
    <x:t xml:space="preserve">地脉快攻</x:t>
  </x:si>
  <x:si>
    <x:t xml:space="preserve">standard|leyline-aggro|none</x:t>
  </x:si>
  <x:si>
    <x:t xml:space="preserve">Izzet Leyline Aggro</x:t>
  </x:si>
  <x:si>
    <x:t xml:space="preserve">蓝红力线快攻</x:t>
  </x:si>
  <x:si>
    <x:t xml:space="preserve">地脉红蓝</x:t>
  </x:si>
  <x:si>
    <x:t xml:space="preserve">standard|leyline-aggro|izzet</x:t>
  </x:si>
  <x:si>
    <x:t xml:space="preserve">gruul</x:t>
  </x:si>
  <x:si>
    <x:t xml:space="preserve">Gruul</x:t>
  </x:si>
  <x:si>
    <x:t xml:space="preserve">Gruul Leyline Aggro</x:t>
  </x:si>
  <x:si>
    <x:t xml:space="preserve">红绿力线快攻</x:t>
  </x:si>
  <x:si>
    <x:t xml:space="preserve">地脉红绿</x:t>
  </x:si>
  <x:si>
    <x:t xml:space="preserve">standard|leyline-aggro|gruul</x:t>
  </x:si>
  <x:si>
    <x:t xml:space="preserve">Boros Leyline Aggro</x:t>
  </x:si>
  <x:si>
    <x:t xml:space="preserve">红白力线快攻</x:t>
  </x:si>
  <x:si>
    <x:t xml:space="preserve">地脉红白</x:t>
  </x:si>
  <x:si>
    <x:t xml:space="preserve">standard|leyline-aggro|boros</x:t>
  </x:si>
  <x:si>
    <x:t xml:space="preserve">rakdos</x:t>
  </x:si>
  <x:si>
    <x:t xml:space="preserve">Rakdos</x:t>
  </x:si>
  <x:si>
    <x:t xml:space="preserve">Rakdos Leyline Aggro</x:t>
  </x:si>
  <x:si>
    <x:t xml:space="preserve">红黑力线快攻</x:t>
  </x:si>
  <x:si>
    <x:t xml:space="preserve">地脉红黑</x:t>
  </x:si>
  <x:si>
    <x:t xml:space="preserve">standard|leyline-aggro|rakdos</x:t>
  </x:si>
  <x:si>
    <x:t xml:space="preserve">mono-red</x:t>
  </x:si>
  <x:si>
    <x:t xml:space="preserve">Mono-Red</x:t>
  </x:si>
  <x:si>
    <x:t xml:space="preserve">Mono-Red Leyline Aggro</x:t>
  </x:si>
  <x:si>
    <x:t xml:space="preserve">纯红力线快攻</x:t>
  </x:si>
  <x:si>
    <x:t xml:space="preserve">地脉纯红</x:t>
  </x:si>
  <x:si>
    <x:t xml:space="preserve">standard|leyline-aggro|mono-red</x:t>
  </x:si>
  <x:si>
    <x:t xml:space="preserve">4-color-allies</x:t>
  </x:si>
  <x:si>
    <x:t xml:space="preserve">Allies Kindred</x:t>
  </x:si>
  <x:si>
    <x:t xml:space="preserve">Allies 部族</x:t>
  </x:si>
  <x:si>
    <x:t xml:space="preserve">伙伴部族</x:t>
  </x:si>
  <x:si>
    <x:t xml:space="preserve">standard|4-color-allies|none</x:t>
  </x:si>
  <x:si>
    <x:t xml:space="preserve">temur-otters</x:t>
  </x:si>
  <x:si>
    <x:t xml:space="preserve">Temur Otters</x:t>
  </x:si>
  <x:si>
    <x:t xml:space="preserve">铁木尔水獭</x:t>
  </x:si>
  <x:si>
    <x:t xml:space="preserve">standard|temur-otters|none</x:t>
  </x:si>
  <x:si>
    <x:t xml:space="preserve">mono-black-demons</x:t>
  </x:si>
  <x:si>
    <x:t xml:space="preserve">Mono-Black Demons</x:t>
  </x:si>
  <x:si>
    <x:t xml:space="preserve">纯黑恶魔</x:t>
  </x:si>
  <x:si>
    <x:t xml:space="preserve">standard|mono-black-demons|none</x:t>
  </x:si>
  <x:si>
    <x:t xml:space="preserve">selesnya-offense</x:t>
  </x:si>
  <x:si>
    <x:t xml:space="preserve">Selesnya Offense</x:t>
  </x:si>
  <x:si>
    <x:t xml:space="preserve">绿白进攻</x:t>
  </x:si>
  <x:si>
    <x:t xml:space="preserve">白绿猛袭</x:t>
  </x:si>
  <x:si>
    <x:t xml:space="preserve">standard|selesnya-offense|none</x:t>
  </x:si>
  <x:si>
    <x:t xml:space="preserve">izzet-aggro</x:t>
  </x:si>
  <x:si>
    <x:t xml:space="preserve">蓝红快攻</x:t>
  </x:si>
  <x:si>
    <x:t xml:space="preserve">红蓝快攻</x:t>
  </x:si>
  <x:si>
    <x:t xml:space="preserve">standard|izzet-aggro|none</x:t>
  </x:si>
  <x:si>
    <x:t xml:space="preserve">gruul-delirium</x:t>
  </x:si>
  <x:si>
    <x:t xml:space="preserve">Gruul Delirium</x:t>
  </x:si>
  <x:si>
    <x:t xml:space="preserve">红绿躁狂</x:t>
  </x:si>
  <x:si>
    <x:t xml:space="preserve">standard|gruul-delirium|none</x:t>
  </x:si>
  <x:si>
    <x:t xml:space="preserve">bant-bounce</x:t>
  </x:si>
  <x:si>
    <x:t xml:space="preserve">Bant Bounce</x:t>
  </x:si>
  <x:si>
    <x:t xml:space="preserve">班特回手</x:t>
  </x:si>
  <x:si>
    <x:t xml:space="preserve">standard|bant-bounce|none</x:t>
  </x:si>
  <x:si>
    <x:t xml:space="preserve">dimir-deceit</x:t>
  </x:si>
  <x:si>
    <x:t xml:space="preserve">Dimir Deceit</x:t>
  </x:si>
  <x:si>
    <x:t xml:space="preserve">蓝黑 Deceit</x:t>
  </x:si>
  <x:si>
    <x:t xml:space="preserve">蓝黑欺瞒</x:t>
  </x:si>
  <x:si>
    <x:t xml:space="preserve">standard|dimir-deceit|none</x:t>
  </x:si>
  <x:si>
    <x:t xml:space="preserve">izzet-opus</x:t>
  </x:si>
  <x:si>
    <x:t xml:space="preserve">Izzet Opus</x:t>
  </x:si>
  <x:si>
    <x:t xml:space="preserve">蓝红 Opus</x:t>
  </x:si>
  <x:si>
    <x:t xml:space="preserve">红蓝炫示</x:t>
  </x:si>
  <x:si>
    <x:t xml:space="preserve">standard|izzet-opus|none</x:t>
  </x:si>
  <x:si>
    <x:t xml:space="preserve">boros-manufacturing</x:t>
  </x:si>
  <x:si>
    <x:t xml:space="preserve">Boros Manufacturing</x:t>
  </x:si>
  <x:si>
    <x:t xml:space="preserve">红白武器</x:t>
  </x:si>
  <x:si>
    <x:t xml:space="preserve">standard|boros-manufacturing|none</x:t>
  </x:si>
  <x:si>
    <x:t xml:space="preserve">jeskai</x:t>
  </x:si>
  <x:si>
    <x:t xml:space="preserve">Jeskai</x:t>
  </x:si>
  <x:si>
    <x:t xml:space="preserve">Jeskai Manufacturing</x:t>
  </x:si>
  <x:si>
    <x:t xml:space="preserve">洁斯凯制造</x:t>
  </x:si>
  <x:si>
    <x:t xml:space="preserve">洁斯凯武器</x:t>
  </x:si>
  <x:si>
    <x:t xml:space="preserve">standard|boros-manufacturing|jeskai</x:t>
  </x:si>
  <x:si>
    <x:t xml:space="preserve">mardu</x:t>
  </x:si>
  <x:si>
    <x:t xml:space="preserve">Mardu</x:t>
  </x:si>
  <x:si>
    <x:t xml:space="preserve">Mardu Manufacturing</x:t>
  </x:si>
  <x:si>
    <x:t xml:space="preserve">玛尔都制造</x:t>
  </x:si>
  <x:si>
    <x:t xml:space="preserve">玛尔都武器</x:t>
  </x:si>
  <x:si>
    <x:t xml:space="preserve">standard|boros-manufacturing|mardu</x:t>
  </x:si>
  <x:si>
    <x:t xml:space="preserve">红白制造</x:t>
  </x:si>
  <x:si>
    <x:t xml:space="preserve">standard|boros-manufacturing|boros</x:t>
  </x:si>
  <x:si>
    <x:t xml:space="preserve">golgari-reanimator</x:t>
  </x:si>
  <x:si>
    <x:t xml:space="preserve">Golgari Reanimator</x:t>
  </x:si>
  <x:si>
    <x:t xml:space="preserve">黑绿掘坟</x:t>
  </x:si>
  <x:si>
    <x:t xml:space="preserve">standard|golgari-reanimator|none</x:t>
  </x:si>
  <x:si>
    <x:t xml:space="preserve">sultai-control</x:t>
  </x:si>
  <x:si>
    <x:t xml:space="preserve">Sultai Control</x:t>
  </x:si>
  <x:si>
    <x:t xml:space="preserve">苏勒台控制</x:t>
  </x:si>
  <x:si>
    <x:t xml:space="preserve">standard|sultai-control|none</x:t>
  </x:si>
  <x:si>
    <x:t xml:space="preserve">orzhov-repartee</x:t>
  </x:si>
  <x:si>
    <x:t xml:space="preserve">Orzhov Repartee</x:t>
  </x:si>
  <x:si>
    <x:t xml:space="preserve">黑白 Repartee</x:t>
  </x:si>
  <x:si>
    <x:t xml:space="preserve">黑白连辞</x:t>
  </x:si>
  <x:si>
    <x:t xml:space="preserve">standard|orzhov-repartee|none</x:t>
  </x:si>
  <x:si>
    <x:t xml:space="preserve">mono-black-aggro</x:t>
  </x:si>
  <x:si>
    <x:t xml:space="preserve">Mono-Black Aggro</x:t>
  </x:si>
  <x:si>
    <x:t xml:space="preserve">纯黑快攻</x:t>
  </x:si>
  <x:si>
    <x:t xml:space="preserve">standard|mono-black-aggro|none</x:t>
  </x:si>
  <x:si>
    <x:t xml:space="preserve">golgari-crime</x:t>
  </x:si>
  <x:si>
    <x:t xml:space="preserve">Golgari Crime</x:t>
  </x:si>
  <x:si>
    <x:t xml:space="preserve">黑绿罪行</x:t>
  </x:si>
  <x:si>
    <x:t xml:space="preserve">黑绿犯罪</x:t>
  </x:si>
  <x:si>
    <x:t xml:space="preserve">standard|golgari-crime|none</x:t>
  </x:si>
  <x:si>
    <x:t xml:space="preserve">golgari-roots</x:t>
  </x:si>
  <x:si>
    <x:t xml:space="preserve">Golgari Roots</x:t>
  </x:si>
  <x:si>
    <x:t xml:space="preserve">黑绿根系</x:t>
  </x:si>
  <x:si>
    <x:t xml:space="preserve">黑绿繁根</x:t>
  </x:si>
  <x:si>
    <x:t xml:space="preserve">standard|golgari-roots|none</x:t>
  </x:si>
  <x:si>
    <x:t xml:space="preserve">orzhov-control</x:t>
  </x:si>
  <x:si>
    <x:t xml:space="preserve">Orzhov Control</x:t>
  </x:si>
  <x:si>
    <x:t xml:space="preserve">黑白控制</x:t>
  </x:si>
  <x:si>
    <x:t xml:space="preserve">standard|orzhov-control|none</x:t>
  </x:si>
  <x:si>
    <x:t xml:space="preserve">simic-ramp</x:t>
  </x:si>
  <x:si>
    <x:t xml:space="preserve">Simic Ramp</x:t>
  </x:si>
  <x:si>
    <x:t xml:space="preserve">蓝绿加速</x:t>
  </x:si>
  <x:si>
    <x:t xml:space="preserve">蓝绿Ramp</x:t>
  </x:si>
  <x:si>
    <x:t xml:space="preserve">standard|simic-ramp|none</x:t>
  </x:si>
  <x:si>
    <x:t xml:space="preserve">mono-green-aggro</x:t>
  </x:si>
  <x:si>
    <x:t xml:space="preserve">Mono-Green Aggro</x:t>
  </x:si>
  <x:si>
    <x:t xml:space="preserve">纯绿快攻</x:t>
  </x:si>
  <x:si>
    <x:t xml:space="preserve">standard|mono-green-aggro|none</x:t>
  </x:si>
  <x:si>
    <x:t xml:space="preserve">golgari-midrange</x:t>
  </x:si>
  <x:si>
    <x:t xml:space="preserve">Golgari Midrange</x:t>
  </x:si>
  <x:si>
    <x:t xml:space="preserve">黑绿中速</x:t>
  </x:si>
  <x:si>
    <x:t xml:space="preserve">standard|golgari-midrange|none</x:t>
  </x:si>
  <x:si>
    <x:t xml:space="preserve">selesnya-midrange</x:t>
  </x:si>
  <x:si>
    <x:t xml:space="preserve">Selesnya Midrange</x:t>
  </x:si>
  <x:si>
    <x:t xml:space="preserve">绿白中速</x:t>
  </x:si>
  <x:si>
    <x:t xml:space="preserve">白绿中速</x:t>
  </x:si>
  <x:si>
    <x:t xml:space="preserve">standard|selesnya-midrange|none</x:t>
  </x:si>
  <x:si>
    <x:t xml:space="preserve">azorius-prison</x:t>
  </x:si>
  <x:si>
    <x:t xml:space="preserve">蓝白锁</x:t>
  </x:si>
  <x:si>
    <x:t xml:space="preserve">standard|azorius-prison|none</x:t>
  </x:si>
  <x:si>
    <x:t xml:space="preserve">kona-omniscience</x:t>
  </x:si>
  <x:si>
    <x:t xml:space="preserve">Kona Omniscience</x:t>
  </x:si>
  <x:si>
    <x:t xml:space="preserve">全知</x:t>
  </x:si>
  <x:si>
    <x:t xml:space="preserve">科纳全知</x:t>
  </x:si>
  <x:si>
    <x:t xml:space="preserve">standard|kona-omniscience|none</x:t>
  </x:si>
  <x:si>
    <x:t xml:space="preserve">temur</x:t>
  </x:si>
  <x:si>
    <x:t xml:space="preserve">Temur</x:t>
  </x:si>
  <x:si>
    <x:t xml:space="preserve">Temur Kona Omniscience</x:t>
  </x:si>
  <x:si>
    <x:t xml:space="preserve">铁木尔 Kona Omniscience</x:t>
  </x:si>
  <x:si>
    <x:t xml:space="preserve">铁木尔全知</x:t>
  </x:si>
  <x:si>
    <x:t xml:space="preserve">standard|kona-omniscience|temur</x:t>
  </x:si>
  <x:si>
    <x:t xml:space="preserve">bant</x:t>
  </x:si>
  <x:si>
    <x:t xml:space="preserve">Bant</x:t>
  </x:si>
  <x:si>
    <x:t xml:space="preserve">Bant Kona Omniscience</x:t>
  </x:si>
  <x:si>
    <x:t xml:space="preserve">班特 Kona Omniscience</x:t>
  </x:si>
  <x:si>
    <x:t xml:space="preserve">班特全知</x:t>
  </x:si>
  <x:si>
    <x:t xml:space="preserve">standard|kona-omniscience|bant</x:t>
  </x:si>
  <x:si>
    <x:t xml:space="preserve">simic</x:t>
  </x:si>
  <x:si>
    <x:t xml:space="preserve">Simic</x:t>
  </x:si>
  <x:si>
    <x:t xml:space="preserve">Simic Kona Omniscience</x:t>
  </x:si>
  <x:si>
    <x:t xml:space="preserve">蓝绿 Kona Omniscience</x:t>
  </x:si>
  <x:si>
    <x:t xml:space="preserve">蓝绿全知</x:t>
  </x:si>
  <x:si>
    <x:t xml:space="preserve">standard|kona-omniscience|simic</x:t>
  </x:si>
  <x:si>
    <x:t xml:space="preserve">dark-jeskai-control</x:t>
  </x:si>
  <x:si>
    <x:t xml:space="preserve">Dark Jeskai Control</x:t>
  </x:si>
  <x:si>
    <x:t xml:space="preserve">黑底洁斯凯控制</x:t>
  </x:si>
  <x:si>
    <x:t xml:space="preserve">洁斯凯黑控制</x:t>
  </x:si>
  <x:si>
    <x:t xml:space="preserve">standard|dark-jeskai-control|none</x:t>
  </x:si>
  <x:si>
    <x:t xml:space="preserve">white-sultai-control</x:t>
  </x:si>
  <x:si>
    <x:t xml:space="preserve">White Sultai Control</x:t>
  </x:si>
  <x:si>
    <x:t xml:space="preserve">白苏勒台控制</x:t>
  </x:si>
  <x:si>
    <x:t xml:space="preserve">standard|white-sultai-control|none</x:t>
  </x:si>
  <x:si>
    <x:t xml:space="preserve">黑白回血</x:t>
  </x:si>
  <x:si>
    <x:t xml:space="preserve">五色人类</x:t>
  </x:si>
  <x:si>
    <x:t xml:space="preserve">mono-green-mightiest</x:t>
  </x:si>
  <x:si>
    <x:t xml:space="preserve">Mono-Green Mightiest</x:t>
  </x:si>
  <x:si>
    <x:t xml:space="preserve">纯绿 Mightiest</x:t>
  </x:si>
  <x:si>
    <x:t xml:space="preserve">纯绿联盟</x:t>
  </x:si>
  <x:si>
    <x:t xml:space="preserve">standard|mono-green-mightiest|none</x:t>
  </x:si>
  <x:si>
    <x:t xml:space="preserve">esper-control</x:t>
  </x:si>
  <x:si>
    <x:t xml:space="preserve">Esper Control</x:t>
  </x:si>
  <x:si>
    <x:t xml:space="preserve">艾斯波控制</x:t>
  </x:si>
  <x:si>
    <x:t xml:space="preserve">standard|esper-control|none</x:t>
  </x:si>
  <x:si>
    <x:t xml:space="preserve">azorius-prowess</x:t>
  </x:si>
  <x:si>
    <x:t xml:space="preserve">Azorius Prowess</x:t>
  </x:si>
  <x:si>
    <x:t xml:space="preserve">蓝白灵技</x:t>
  </x:si>
  <x:si>
    <x:t xml:space="preserve">standard|azorius-prowess|none</x:t>
  </x:si>
  <x:si>
    <x:t xml:space="preserve">sultai-midrange</x:t>
  </x:si>
  <x:si>
    <x:t xml:space="preserve">Sultai Midrange</x:t>
  </x:si>
  <x:si>
    <x:t xml:space="preserve">苏勒台中速</x:t>
  </x:si>
  <x:si>
    <x:t xml:space="preserve">standard|sultai-midrange|none</x:t>
  </x:si>
  <x:si>
    <x:t xml:space="preserve">mono-white-triumph</x:t>
  </x:si>
  <x:si>
    <x:t xml:space="preserve">Mono-White Triumph</x:t>
  </x:si>
  <x:si>
    <x:t xml:space="preserve">纯白 Triumph</x:t>
  </x:si>
  <x:si>
    <x:t xml:space="preserve">纯白衍生物</x:t>
  </x:si>
  <x:si>
    <x:t xml:space="preserve">standard|mono-white-triumph|none</x:t>
  </x:si>
  <x:si>
    <x:t xml:space="preserve">izzet-burn</x:t>
  </x:si>
  <x:si>
    <x:t xml:space="preserve">Izzet Burn</x:t>
  </x:si>
  <x:si>
    <x:t xml:space="preserve">蓝红烧</x:t>
  </x:si>
  <x:si>
    <x:t xml:space="preserve">红蓝烧</x:t>
  </x:si>
  <x:si>
    <x:t xml:space="preserve">standard|izzet-burn|none</x:t>
  </x:si>
  <x:si>
    <x:t xml:space="preserve">mono-green-squirrel-combo</x:t>
  </x:si>
  <x:si>
    <x:t xml:space="preserve">Mono-Green Squirrel Combo</x:t>
  </x:si>
  <x:si>
    <x:t xml:space="preserve">纯绿 Squirrel 组合技</x:t>
  </x:si>
  <x:si>
    <x:t xml:space="preserve">纯绿松鼠</x:t>
  </x:si>
  <x:si>
    <x:t xml:space="preserve">standard|mono-green-squirrel-combo|none</x:t>
  </x:si>
  <x:si>
    <x:t xml:space="preserve">temur-hulk-ramp</x:t>
  </x:si>
  <x:si>
    <x:t xml:space="preserve">Temur Hulk Ramp</x:t>
  </x:si>
  <x:si>
    <x:t xml:space="preserve">铁木尔 Hulk 加速</x:t>
  </x:si>
  <x:si>
    <x:t xml:space="preserve">铁木尔浩克</x:t>
  </x:si>
  <x:si>
    <x:t xml:space="preserve">standard|temur-hulk-ramp|none</x:t>
  </x:si>
  <x:si>
    <x:t xml:space="preserve">azorius-auras</x:t>
  </x:si>
  <x:si>
    <x:t xml:space="preserve">Azorius Auras</x:t>
  </x:si>
  <x:si>
    <x:t xml:space="preserve">蓝白灵气</x:t>
  </x:si>
  <x:si>
    <x:t xml:space="preserve">蓝白贴皮</x:t>
  </x:si>
  <x:si>
    <x:t xml:space="preserve">standard|azorius-auras|none</x:t>
  </x:si>
  <x:si>
    <x:t xml:space="preserve">selesnya-ramp</x:t>
  </x:si>
  <x:si>
    <x:t xml:space="preserve">Selesnya Ramp</x:t>
  </x:si>
  <x:si>
    <x:t xml:space="preserve">绿白加速</x:t>
  </x:si>
  <x:si>
    <x:t xml:space="preserve">白绿加速</x:t>
  </x:si>
  <x:si>
    <x:t xml:space="preserve">standard|selesnya-ramp|none</x:t>
  </x:si>
  <x:si>
    <x:t xml:space="preserve">azorius-cage</x:t>
  </x:si>
  <x:si>
    <x:t xml:space="preserve">Azorius Cage</x:t>
  </x:si>
  <x:si>
    <x:t xml:space="preserve">蓝白牢笼</x:t>
  </x:si>
  <x:si>
    <x:t xml:space="preserve">蓝白秘笼</x:t>
  </x:si>
  <x:si>
    <x:t xml:space="preserve">standard|azorius-cage|none</x:t>
  </x:si>
  <x:si>
    <x:t xml:space="preserve">white-weenie</x:t>
  </x:si>
  <x:si>
    <x:t xml:space="preserve">White Weenie</x:t>
  </x:si>
  <x:si>
    <x:t xml:space="preserve">白快</x:t>
  </x:si>
  <x:si>
    <x:t xml:space="preserve">小白</x:t>
  </x:si>
  <x:si>
    <x:t xml:space="preserve">standard|white-weenie|none</x:t>
  </x:si>
  <x:si>
    <x:t xml:space="preserve">golgari-sacrifice</x:t>
  </x:si>
  <x:si>
    <x:t xml:space="preserve">Golgari Sacrifice</x:t>
  </x:si>
  <x:si>
    <x:t xml:space="preserve">黑绿牺牲</x:t>
  </x:si>
  <x:si>
    <x:t xml:space="preserve">standard|golgari-sacrifice|none</x:t>
  </x:si>
  <x:si>
    <x:t xml:space="preserve">mono-blue-namor</x:t>
  </x:si>
  <x:si>
    <x:t xml:space="preserve">Mono-Blue Namor</x:t>
  </x:si>
  <x:si>
    <x:t xml:space="preserve">纯蓝 Namor</x:t>
  </x:si>
  <x:si>
    <x:t xml:space="preserve">纯蓝纳摩</x:t>
  </x:si>
  <x:si>
    <x:t xml:space="preserve">standard|mono-blue-namor|none</x:t>
  </x:si>
  <x:si>
    <x:t xml:space="preserve">dimir-oculus</x:t>
  </x:si>
  <x:si>
    <x:t xml:space="preserve">Dimir Oculus</x:t>
  </x:si>
  <x:si>
    <x:t xml:space="preserve">蓝黑掘大眼</x:t>
  </x:si>
  <x:si>
    <x:t xml:space="preserve">蓝黑大眼</x:t>
  </x:si>
  <x:si>
    <x:t xml:space="preserve">standard|dimir-oculus|none</x:t>
  </x:si>
  <x:si>
    <x:t xml:space="preserve">sultai-oculus</x:t>
  </x:si>
  <x:si>
    <x:t xml:space="preserve">Sultai Oculus</x:t>
  </x:si>
  <x:si>
    <x:t xml:space="preserve">苏勒台掘大眼</x:t>
  </x:si>
  <x:si>
    <x:t xml:space="preserve">苏勒台大眼</x:t>
  </x:si>
  <x:si>
    <x:t xml:space="preserve">standard|sultai-oculus|none</x:t>
  </x:si>
  <x:si>
    <x:t xml:space="preserve">azorius-token-control</x:t>
  </x:si>
  <x:si>
    <x:t xml:space="preserve">Azorius Token Control</x:t>
  </x:si>
  <x:si>
    <x:t xml:space="preserve">蓝白衍生物控制</x:t>
  </x:si>
  <x:si>
    <x:t xml:space="preserve">standard|azorius-token-control|none</x:t>
  </x:si>
  <x:si>
    <x:t xml:space="preserve">gruul-monsters</x:t>
  </x:si>
  <x:si>
    <x:t xml:space="preserve">Gruul Monsters</x:t>
  </x:si>
  <x:si>
    <x:t xml:space="preserve">红绿怪兽</x:t>
  </x:si>
  <x:si>
    <x:t xml:space="preserve">standard|gruul-monsters|none</x:t>
  </x:si>
  <x:si>
    <x:t xml:space="preserve">izzet-iron-man</x:t>
  </x:si>
  <x:si>
    <x:t xml:space="preserve">Izzet Iron Man</x:t>
  </x:si>
  <x:si>
    <x:t xml:space="preserve">蓝红 Iron Man</x:t>
  </x:si>
  <x:si>
    <x:t xml:space="preserve">红蓝钢铁侠</x:t>
  </x:si>
  <x:si>
    <x:t xml:space="preserve">standard|izzet-iron-man|none</x:t>
  </x:si>
  <x:si>
    <x:t xml:space="preserve">rakdos-ponza</x:t>
  </x:si>
  <x:si>
    <x:t xml:space="preserve">Rakdos Ponza</x:t>
  </x:si>
  <x:si>
    <x:t xml:space="preserve">红黑 Ponza</x:t>
  </x:si>
  <x:si>
    <x:t xml:space="preserve">红黑炸地</x:t>
  </x:si>
  <x:si>
    <x:t xml:space="preserve">standard|rakdos-ponza|none</x:t>
  </x:si>
  <x:si>
    <x:t xml:space="preserve">dimir-flash</x:t>
  </x:si>
  <x:si>
    <x:t xml:space="preserve">Dimir Flash</x:t>
  </x:si>
  <x:si>
    <x:t xml:space="preserve">蓝黑闪现</x:t>
  </x:si>
  <x:si>
    <x:t xml:space="preserve">standard|dimir-flash|none</x:t>
  </x:si>
  <x:si>
    <x:t xml:space="preserve">orzhov-demon</x:t>
  </x:si>
  <x:si>
    <x:t xml:space="preserve">Orzhov Demon</x:t>
  </x:si>
  <x:si>
    <x:t xml:space="preserve">黑白恶魔</x:t>
  </x:si>
  <x:si>
    <x:t xml:space="preserve">standard|orzhov-demon|none</x:t>
  </x:si>
  <x:si>
    <x:t xml:space="preserve">gruul-dinosaur</x:t>
  </x:si>
  <x:si>
    <x:t xml:space="preserve">Gruul Dinosaur</x:t>
  </x:si>
  <x:si>
    <x:t xml:space="preserve">红绿恐龙</x:t>
  </x:si>
  <x:si>
    <x:t xml:space="preserve">standard|gruul-dinosaur|none</x:t>
  </x:si>
  <x:si>
    <x:t xml:space="preserve">mono-white-auras</x:t>
  </x:si>
  <x:si>
    <x:t xml:space="preserve">Mono-White Auras</x:t>
  </x:si>
  <x:si>
    <x:t xml:space="preserve">纯白灵气</x:t>
  </x:si>
  <x:si>
    <x:t xml:space="preserve">纯白贴皮</x:t>
  </x:si>
  <x:si>
    <x:t xml:space="preserve">standard|mono-white-auras|none</x:t>
  </x:si>
  <x:si>
    <x:t xml:space="preserve">jeskai-equipment</x:t>
  </x:si>
  <x:si>
    <x:t xml:space="preserve">Jeskai Equipment</x:t>
  </x:si>
  <x:si>
    <x:t xml:space="preserve">洁斯凯武具</x:t>
  </x:si>
  <x:si>
    <x:t xml:space="preserve">standard|jeskai-equipment|none</x:t>
  </x:si>
  <x:si>
    <x:t xml:space="preserve">orzhov-momo</x:t>
  </x:si>
  <x:si>
    <x:t xml:space="preserve">Orzhov Momo</x:t>
  </x:si>
  <x:si>
    <x:t xml:space="preserve">黑白模模</x:t>
  </x:si>
  <x:si>
    <x:t xml:space="preserve">standard|orzhov-momo|none</x:t>
  </x:si>
  <x:si>
    <x:t xml:space="preserve">gruul-ramp</x:t>
  </x:si>
  <x:si>
    <x:t xml:space="preserve">Gruul Ramp</x:t>
  </x:si>
  <x:si>
    <x:t xml:space="preserve">红绿加速</x:t>
  </x:si>
  <x:si>
    <x:t xml:space="preserve">standard|gruul-ramp|none</x:t>
  </x:si>
  <x:si>
    <x:t xml:space="preserve">break-out-aggro</x:t>
  </x:si>
  <x:si>
    <x:t xml:space="preserve">Break Out Aggro</x:t>
  </x:si>
  <x:si>
    <x:t xml:space="preserve">Break Out 快攻</x:t>
  </x:si>
  <x:si>
    <x:t xml:space="preserve">破墙快攻</x:t>
  </x:si>
  <x:si>
    <x:t xml:space="preserve">standard|break-out-aggro|none</x:t>
  </x:si>
  <x:si>
    <x:t xml:space="preserve">mono-red-burn</x:t>
  </x:si>
  <x:si>
    <x:t xml:space="preserve">Mono-Red Burn</x:t>
  </x:si>
  <x:si>
    <x:t xml:space="preserve">纯红烧</x:t>
  </x:si>
  <x:si>
    <x:t xml:space="preserve">standard|mono-red-burn|none</x:t>
  </x:si>
  <x:si>
    <x:t xml:space="preserve">mono-blue-selective-memory</x:t>
  </x:si>
  <x:si>
    <x:t xml:space="preserve">Mono-Blue Selective Memory</x:t>
  </x:si>
  <x:si>
    <x:t xml:space="preserve">纯蓝 Selective Memory</x:t>
  </x:si>
  <x:si>
    <x:t xml:space="preserve">纯蓝记忆</x:t>
  </x:si>
  <x:si>
    <x:t xml:space="preserve">modern|mono-blue-selective-memory|none</x:t>
  </x:si>
  <x:si>
    <x:t xml:space="preserve">bant-company</x:t>
  </x:si>
  <x:si>
    <x:t xml:space="preserve">Bant Company</x:t>
  </x:si>
  <x:si>
    <x:t xml:space="preserve">班特伴侣</x:t>
  </x:si>
  <x:si>
    <x:t xml:space="preserve">班特军伍</x:t>
  </x:si>
  <x:si>
    <x:t xml:space="preserve">modern|bant-company|none</x:t>
  </x:si>
  <x:si>
    <x:t xml:space="preserve">grixis-legends</x:t>
  </x:si>
  <x:si>
    <x:t xml:space="preserve">Grixis Legends</x:t>
  </x:si>
  <x:si>
    <x:t xml:space="preserve">格利极 Legends</x:t>
  </x:si>
  <x:si>
    <x:t xml:space="preserve">格利极传奇</x:t>
  </x:si>
  <x:si>
    <x:t xml:space="preserve">modern|grixis-legends|none</x:t>
  </x:si>
  <x:si>
    <x:t xml:space="preserve">primal-prayers-combo</x:t>
  </x:si>
  <x:si>
    <x:t xml:space="preserve">Primal Prayers Combo</x:t>
  </x:si>
  <x:si>
    <x:t xml:space="preserve">Primal Prayers 组合技</x:t>
  </x:si>
  <x:si>
    <x:t xml:space="preserve">祷言组合技</x:t>
  </x:si>
  <x:si>
    <x:t xml:space="preserve">modern|primal-prayers-combo|none</x:t>
  </x:si>
  <x:si>
    <x:t xml:space="preserve">yawgmoth-energy</x:t>
  </x:si>
  <x:si>
    <x:t xml:space="preserve">Yawgmoth Energy</x:t>
  </x:si>
  <x:si>
    <x:t xml:space="preserve">约格莫夫能量</x:t>
  </x:si>
  <x:si>
    <x:t xml:space="preserve">约哥能量</x:t>
  </x:si>
  <x:si>
    <x:t xml:space="preserve">modern|yawgmoth-energy|none</x:t>
  </x:si>
  <x:si>
    <x:t xml:space="preserve">mardu-energy</x:t>
  </x:si>
  <x:si>
    <x:t xml:space="preserve">Mardu Energy</x:t>
  </x:si>
  <x:si>
    <x:t xml:space="preserve">玛尔都能量</x:t>
  </x:si>
  <x:si>
    <x:t xml:space="preserve">modern|mardu-energy|none</x:t>
  </x:si>
  <x:si>
    <x:t xml:space="preserve">mardu-vial</x:t>
  </x:si>
  <x:si>
    <x:t xml:space="preserve">Mardu Vial</x:t>
  </x:si>
  <x:si>
    <x:t xml:space="preserve">玛尔都 Vial</x:t>
  </x:si>
  <x:si>
    <x:t xml:space="preserve">玛尔都精瓶</x:t>
  </x:si>
  <x:si>
    <x:t xml:space="preserve">modern|mardu-vial|none</x:t>
  </x:si>
  <x:si>
    <x:t xml:space="preserve">modern|five-color-humans|none</x:t>
  </x:si>
  <x:si>
    <x:t xml:space="preserve">cheerios</x:t>
  </x:si>
  <x:si>
    <x:t xml:space="preserve">Cheerios</x:t>
  </x:si>
  <x:si>
    <x:t xml:space="preserve">麦圈</x:t>
  </x:si>
  <x:si>
    <x:t xml:space="preserve">modern|cheerios|none</x:t>
  </x:si>
  <x:si>
    <x:t xml:space="preserve">solemnity-blink</x:t>
  </x:si>
  <x:si>
    <x:t xml:space="preserve">Solemnity Blink</x:t>
  </x:si>
  <x:si>
    <x:t xml:space="preserve">Solemnity 闪烁</x:t>
  </x:si>
  <x:si>
    <x:t xml:space="preserve">肃然云移</x:t>
  </x:si>
  <x:si>
    <x:t xml:space="preserve">modern|solemnity-blink|none</x:t>
  </x:si>
  <x:si>
    <x:t xml:space="preserve">shape-anew</x:t>
  </x:si>
  <x:si>
    <x:t xml:space="preserve">Shape Anew</x:t>
  </x:si>
  <x:si>
    <x:t xml:space="preserve">重塑组合技</x:t>
  </x:si>
  <x:si>
    <x:t xml:space="preserve">重塑型体</x:t>
  </x:si>
  <x:si>
    <x:t xml:space="preserve">modern|shape-anew|none</x:t>
  </x:si>
  <x:si>
    <x:t xml:space="preserve">dimir-unearth</x:t>
  </x:si>
  <x:si>
    <x:t xml:space="preserve">Dimir Unearth</x:t>
  </x:si>
  <x:si>
    <x:t xml:space="preserve">蓝黑 Unearth</x:t>
  </x:si>
  <x:si>
    <x:t xml:space="preserve">蓝黑出土</x:t>
  </x:si>
  <x:si>
    <x:t xml:space="preserve">modern|dimir-unearth|none</x:t>
  </x:si>
  <x:si>
    <x:t xml:space="preserve">thopter-sword</x:t>
  </x:si>
  <x:si>
    <x:t xml:space="preserve">Thopter Sword</x:t>
  </x:si>
  <x:si>
    <x:t xml:space="preserve">锻炉剑</x:t>
  </x:si>
  <x:si>
    <x:t xml:space="preserve">modern|thopter-sword|none</x:t>
  </x:si>
  <x:si>
    <x:t xml:space="preserve">Bant Thopter Sword</x:t>
  </x:si>
  <x:si>
    <x:t xml:space="preserve">班特飞翼剑</x:t>
  </x:si>
  <x:si>
    <x:t xml:space="preserve">班特锻炉剑</x:t>
  </x:si>
  <x:si>
    <x:t xml:space="preserve">modern|thopter-sword|bant</x:t>
  </x:si>
  <x:si>
    <x:t xml:space="preserve">azorius-miracles</x:t>
  </x:si>
  <x:si>
    <x:t xml:space="preserve">Azorius Miracles</x:t>
  </x:si>
  <x:si>
    <x:t xml:space="preserve">蓝白奇迹</x:t>
  </x:si>
  <x:si>
    <x:t xml:space="preserve">modern|azorius-miracles|none</x:t>
  </x:si>
  <x:si>
    <x:t xml:space="preserve">dimir-goryos</x:t>
  </x:si>
  <x:si>
    <x:t xml:space="preserve">Dimir Goryo's</x:t>
  </x:si>
  <x:si>
    <x:t xml:space="preserve">蓝黑 Goryo's</x:t>
  </x:si>
  <x:si>
    <x:t xml:space="preserve">蓝黑怨灵</x:t>
  </x:si>
  <x:si>
    <x:t xml:space="preserve">modern|dimir-goryos|none</x:t>
  </x:si>
  <x:si>
    <x:t xml:space="preserve">domain-persist</x:t>
  </x:si>
  <x:si>
    <x:t xml:space="preserve">Domain Persist</x:t>
  </x:si>
  <x:si>
    <x:t xml:space="preserve">领域留存</x:t>
  </x:si>
  <x:si>
    <x:t xml:space="preserve">领土留存</x:t>
  </x:si>
  <x:si>
    <x:t xml:space="preserve">modern|domain-persist|none</x:t>
  </x:si>
  <x:si>
    <x:t xml:space="preserve">dimir-persist</x:t>
  </x:si>
  <x:si>
    <x:t xml:space="preserve">Dimir Persist</x:t>
  </x:si>
  <x:si>
    <x:t xml:space="preserve">蓝黑留存</x:t>
  </x:si>
  <x:si>
    <x:t xml:space="preserve">modern|dimir-persist|none</x:t>
  </x:si>
  <x:si>
    <x:t xml:space="preserve">izzet-tempo</x:t>
  </x:si>
  <x:si>
    <x:t xml:space="preserve">Izzet Tempo</x:t>
  </x:si>
  <x:si>
    <x:t xml:space="preserve">蓝红节奏</x:t>
  </x:si>
  <x:si>
    <x:t xml:space="preserve">红蓝节奏</x:t>
  </x:si>
  <x:si>
    <x:t xml:space="preserve">modern|izzet-tempo|none</x:t>
  </x:si>
  <x:si>
    <x:t xml:space="preserve">sultai-tempo</x:t>
  </x:si>
  <x:si>
    <x:t xml:space="preserve">Sultai Tempo</x:t>
  </x:si>
  <x:si>
    <x:t xml:space="preserve">苏勒台节奏</x:t>
  </x:si>
  <x:si>
    <x:t xml:space="preserve">modern|sultai-tempo|none</x:t>
  </x:si>
  <x:si>
    <x:t xml:space="preserve">sultai-flicker</x:t>
  </x:si>
  <x:si>
    <x:t xml:space="preserve">Sultai Flicker</x:t>
  </x:si>
  <x:si>
    <x:t xml:space="preserve">苏勒台 Flicker</x:t>
  </x:si>
  <x:si>
    <x:t xml:space="preserve">苏勒台云移</x:t>
  </x:si>
  <x:si>
    <x:t xml:space="preserve">modern|sultai-flicker|none</x:t>
  </x:si>
  <x:si>
    <x:t xml:space="preserve">domain-blink</x:t>
  </x:si>
  <x:si>
    <x:t xml:space="preserve">Domain Blink</x:t>
  </x:si>
  <x:si>
    <x:t xml:space="preserve">领域闪烁</x:t>
  </x:si>
  <x:si>
    <x:t xml:space="preserve">领土云移</x:t>
  </x:si>
  <x:si>
    <x:t xml:space="preserve">modern|domain-blink|none</x:t>
  </x:si>
  <x:si>
    <x:t xml:space="preserve">jund-goblins</x:t>
  </x:si>
  <x:si>
    <x:t xml:space="preserve">Jund Goblins</x:t>
  </x:si>
  <x:si>
    <x:t xml:space="preserve">勇得鬼怪</x:t>
  </x:si>
  <x:si>
    <x:t xml:space="preserve">modern|jund-goblins|none</x:t>
  </x:si>
  <x:si>
    <x:t xml:space="preserve">glimpse-of-tomorrow</x:t>
  </x:si>
  <x:si>
    <x:t xml:space="preserve">Glimpse of Tomorrow</x:t>
  </x:si>
  <x:si>
    <x:t xml:space="preserve">明日预视</x:t>
  </x:si>
  <x:si>
    <x:t xml:space="preserve">瞥视明日</x:t>
  </x:si>
  <x:si>
    <x:t xml:space="preserve">modern|glimpse-of-tomorrow|none</x:t>
  </x:si>
  <x:si>
    <x:t xml:space="preserve">naya-midrange</x:t>
  </x:si>
  <x:si>
    <x:t xml:space="preserve">Naya Midrange</x:t>
  </x:si>
  <x:si>
    <x:t xml:space="preserve">纳雅中速</x:t>
  </x:si>
  <x:si>
    <x:t xml:space="preserve">modern|naya-midrange|none</x:t>
  </x:si>
  <x:si>
    <x:t xml:space="preserve">izzet-extra-turns</x:t>
  </x:si>
  <x:si>
    <x:t xml:space="preserve">Izzet Extra Turns</x:t>
  </x:si>
  <x:si>
    <x:t xml:space="preserve">蓝红额外回合</x:t>
  </x:si>
  <x:si>
    <x:t xml:space="preserve">红蓝额外回合</x:t>
  </x:si>
  <x:si>
    <x:t xml:space="preserve">modern|izzet-extra-turns|none</x:t>
  </x:si>
  <x:si>
    <x:t xml:space="preserve">izzet-cauldron</x:t>
  </x:si>
  <x:si>
    <x:t xml:space="preserve">Izzet Cauldron</x:t>
  </x:si>
  <x:si>
    <x:t xml:space="preserve">蓝红 Cauldron</x:t>
  </x:si>
  <x:si>
    <x:t xml:space="preserve">红蓝大锅</x:t>
  </x:si>
  <x:si>
    <x:t xml:space="preserve">modern|izzet-cauldron|none</x:t>
  </x:si>
  <x:si>
    <x:t xml:space="preserve">rakdos-delirium</x:t>
  </x:si>
  <x:si>
    <x:t xml:space="preserve">Rakdos Delirium</x:t>
  </x:si>
  <x:si>
    <x:t xml:space="preserve">红黑躁狂</x:t>
  </x:si>
  <x:si>
    <x:t xml:space="preserve">modern|rakdos-delirium|none</x:t>
  </x:si>
  <x:si>
    <x:t xml:space="preserve">rakdos-midrange</x:t>
  </x:si>
  <x:si>
    <x:t xml:space="preserve">Rakdos Midrange</x:t>
  </x:si>
  <x:si>
    <x:t xml:space="preserve">红黑中速</x:t>
  </x:si>
  <x:si>
    <x:t xml:space="preserve">modern|rakdos-midrange|none</x:t>
  </x:si>
  <x:si>
    <x:t xml:space="preserve">rakdos-aggro</x:t>
  </x:si>
  <x:si>
    <x:t xml:space="preserve">Rakdos Aggro</x:t>
  </x:si>
  <x:si>
    <x:t xml:space="preserve">红黑快攻</x:t>
  </x:si>
  <x:si>
    <x:t xml:space="preserve">modern|rakdos-aggro|none</x:t>
  </x:si>
  <x:si>
    <x:t xml:space="preserve">红白能量</x:t>
  </x:si>
  <x:si>
    <x:t xml:space="preserve">洁斯凯能量</x:t>
  </x:si>
  <x:si>
    <x:t xml:space="preserve">azorius-energy</x:t>
  </x:si>
  <x:si>
    <x:t xml:space="preserve">Azorius Energy</x:t>
  </x:si>
  <x:si>
    <x:t xml:space="preserve">蓝白能量</x:t>
  </x:si>
  <x:si>
    <x:t xml:space="preserve">modern|azorius-energy|none</x:t>
  </x:si>
  <x:si>
    <x:t xml:space="preserve">selesnya-energy</x:t>
  </x:si>
  <x:si>
    <x:t xml:space="preserve">Selesnya Energy</x:t>
  </x:si>
  <x:si>
    <x:t xml:space="preserve">绿白能量</x:t>
  </x:si>
  <x:si>
    <x:t xml:space="preserve">白绿能量</x:t>
  </x:si>
  <x:si>
    <x:t xml:space="preserve">modern|selesnya-energy|none</x:t>
  </x:si>
  <x:si>
    <x:t xml:space="preserve">esper-energy</x:t>
  </x:si>
  <x:si>
    <x:t xml:space="preserve">Esper Energy</x:t>
  </x:si>
  <x:si>
    <x:t xml:space="preserve">艾斯波能量</x:t>
  </x:si>
  <x:si>
    <x:t xml:space="preserve">modern|esper-energy|none</x:t>
  </x:si>
  <x:si>
    <x:t xml:space="preserve">mono-white-humans</x:t>
  </x:si>
  <x:si>
    <x:t xml:space="preserve">Mono-White Humans</x:t>
  </x:si>
  <x:si>
    <x:t xml:space="preserve">纯白人类</x:t>
  </x:si>
  <x:si>
    <x:t xml:space="preserve">modern|mono-white-humans|none</x:t>
  </x:si>
  <x:si>
    <x:t xml:space="preserve">hardened-scales</x:t>
  </x:si>
  <x:si>
    <x:t xml:space="preserve">Hardened Scales</x:t>
  </x:si>
  <x:si>
    <x:t xml:space="preserve">强化鳞甲</x:t>
  </x:si>
  <x:si>
    <x:t xml:space="preserve">坚固鳞甲</x:t>
  </x:si>
  <x:si>
    <x:t xml:space="preserve">modern|hardened-scales|none</x:t>
  </x:si>
  <x:si>
    <x:t xml:space="preserve">affinity</x:t>
  </x:si>
  <x:si>
    <x:t xml:space="preserve">共鸣</x:t>
  </x:si>
  <x:si>
    <x:t xml:space="preserve">modern|affinity|none</x:t>
  </x:si>
  <x:si>
    <x:t xml:space="preserve">steel-cutter</x:t>
  </x:si>
  <x:si>
    <x:t xml:space="preserve">红蓝介刀</x:t>
  </x:si>
  <x:si>
    <x:t xml:space="preserve">modern|steel-cutter|none</x:t>
  </x:si>
  <x:si>
    <x:t xml:space="preserve">蓝红 Steel-Cutter</x:t>
  </x:si>
  <x:si>
    <x:t xml:space="preserve">modern|steel-cutter|izzet</x:t>
  </x:si>
  <x:si>
    <x:t xml:space="preserve">solemnity-prison</x:t>
  </x:si>
  <x:si>
    <x:t xml:space="preserve">Solemnity Prison</x:t>
  </x:si>
  <x:si>
    <x:t xml:space="preserve">Solemnity 锁</x:t>
  </x:si>
  <x:si>
    <x:t xml:space="preserve">肃然致哀锁</x:t>
  </x:si>
  <x:si>
    <x:t xml:space="preserve">modern|solemnity-prison|none</x:t>
  </x:si>
  <x:si>
    <x:t xml:space="preserve">bogles</x:t>
  </x:si>
  <x:si>
    <x:t xml:space="preserve">Bogles</x:t>
  </x:si>
  <x:si>
    <x:t xml:space="preserve">辟邪灵气</x:t>
  </x:si>
  <x:si>
    <x:t xml:space="preserve">贴皮</x:t>
  </x:si>
  <x:si>
    <x:t xml:space="preserve">modern|bogles|none</x:t>
  </x:si>
  <x:si>
    <x:t xml:space="preserve">prowess</x:t>
  </x:si>
  <x:si>
    <x:t xml:space="preserve">灵技</x:t>
  </x:si>
  <x:si>
    <x:t xml:space="preserve">modern|prowess|none</x:t>
  </x:si>
  <x:si>
    <x:t xml:space="preserve">lessons</x:t>
  </x:si>
  <x:si>
    <x:t xml:space="preserve">Lessons</x:t>
  </x:si>
  <x:si>
    <x:t xml:space="preserve">Lessons Prowess</x:t>
  </x:si>
  <x:si>
    <x:t xml:space="preserve">课程灵技</x:t>
  </x:si>
  <x:si>
    <x:t xml:space="preserve">modern|prowess|lessons</x:t>
  </x:si>
  <x:si>
    <x:t xml:space="preserve">Mardu Prowess</x:t>
  </x:si>
  <x:si>
    <x:t xml:space="preserve">玛尔都灵技</x:t>
  </x:si>
  <x:si>
    <x:t xml:space="preserve">modern|prowess|mardu</x:t>
  </x:si>
  <x:si>
    <x:t xml:space="preserve">Rakdos Prowess</x:t>
  </x:si>
  <x:si>
    <x:t xml:space="preserve">红黑灵技</x:t>
  </x:si>
  <x:si>
    <x:t xml:space="preserve">modern|prowess|rakdos</x:t>
  </x:si>
  <x:si>
    <x:t xml:space="preserve">grixis</x:t>
  </x:si>
  <x:si>
    <x:t xml:space="preserve">Grixis</x:t>
  </x:si>
  <x:si>
    <x:t xml:space="preserve">Grixis Prowess</x:t>
  </x:si>
  <x:si>
    <x:t xml:space="preserve">格利极灵技</x:t>
  </x:si>
  <x:si>
    <x:t xml:space="preserve">modern|prowess|grixis</x:t>
  </x:si>
  <x:si>
    <x:t xml:space="preserve">Jeskai Prowess</x:t>
  </x:si>
  <x:si>
    <x:t xml:space="preserve">洁斯凯灵技</x:t>
  </x:si>
  <x:si>
    <x:t xml:space="preserve">modern|prowess|jeskai</x:t>
  </x:si>
  <x:si>
    <x:t xml:space="preserve">Temur Prowess</x:t>
  </x:si>
  <x:si>
    <x:t xml:space="preserve">铁木尔灵技</x:t>
  </x:si>
  <x:si>
    <x:t xml:space="preserve">modern|prowess|temur</x:t>
  </x:si>
  <x:si>
    <x:t xml:space="preserve">Boros Prowess</x:t>
  </x:si>
  <x:si>
    <x:t xml:space="preserve">红白灵技</x:t>
  </x:si>
  <x:si>
    <x:t xml:space="preserve">modern|prowess|boros</x:t>
  </x:si>
  <x:si>
    <x:t xml:space="preserve">Mono-Red Prowess</x:t>
  </x:si>
  <x:si>
    <x:t xml:space="preserve">纯红灵技</x:t>
  </x:si>
  <x:si>
    <x:t xml:space="preserve">modern|prowess|mono-red</x:t>
  </x:si>
  <x:si>
    <x:t xml:space="preserve">modern|prowess|izzet</x:t>
  </x:si>
  <x:si>
    <x:t xml:space="preserve">leyline-fling</x:t>
  </x:si>
  <x:si>
    <x:t xml:space="preserve">Leyline Fling</x:t>
  </x:si>
  <x:si>
    <x:t xml:space="preserve">力线投掷</x:t>
  </x:si>
  <x:si>
    <x:t xml:space="preserve">地脉投掷</x:t>
  </x:si>
  <x:si>
    <x:t xml:space="preserve">modern|leyline-fling|none</x:t>
  </x:si>
  <x:si>
    <x:t xml:space="preserve">amulet-titan</x:t>
  </x:si>
  <x:si>
    <x:t xml:space="preserve">护身符泰坦</x:t>
  </x:si>
  <x:si>
    <x:t xml:space="preserve">泰坦护身符</x:t>
  </x:si>
  <x:si>
    <x:t xml:space="preserve">modern|amulet-titan|none</x:t>
  </x:si>
  <x:si>
    <x:t xml:space="preserve">scapeshift</x:t>
  </x:si>
  <x:si>
    <x:t xml:space="preserve">Scapeshift</x:t>
  </x:si>
  <x:si>
    <x:t xml:space="preserve">变境</x:t>
  </x:si>
  <x:si>
    <x:t xml:space="preserve">modern|scapeshift|none</x:t>
  </x:si>
  <x:si>
    <x:t xml:space="preserve">four-color</x:t>
  </x:si>
  <x:si>
    <x:t xml:space="preserve">Four-Color</x:t>
  </x:si>
  <x:si>
    <x:t xml:space="preserve">Four-Color Scapeshift</x:t>
  </x:si>
  <x:si>
    <x:t xml:space="preserve">四色 Scapeshift</x:t>
  </x:si>
  <x:si>
    <x:t xml:space="preserve">四色变境</x:t>
  </x:si>
  <x:si>
    <x:t xml:space="preserve">modern|scapeshift|four-color</x:t>
  </x:si>
  <x:si>
    <x:t xml:space="preserve">naya</x:t>
  </x:si>
  <x:si>
    <x:t xml:space="preserve">Naya</x:t>
  </x:si>
  <x:si>
    <x:t xml:space="preserve">Naya Scapeshift</x:t>
  </x:si>
  <x:si>
    <x:t xml:space="preserve">纳雅 Scapeshift</x:t>
  </x:si>
  <x:si>
    <x:t xml:space="preserve">纳雅变境</x:t>
  </x:si>
  <x:si>
    <x:t xml:space="preserve">modern|scapeshift|naya</x:t>
  </x:si>
  <x:si>
    <x:t xml:space="preserve">gruul-valakut</x:t>
  </x:si>
  <x:si>
    <x:t xml:space="preserve">Gruul Valakut</x:t>
  </x:si>
  <x:si>
    <x:t xml:space="preserve">红绿 Valakut</x:t>
  </x:si>
  <x:si>
    <x:t xml:space="preserve">红绿瓦拉库</x:t>
  </x:si>
  <x:si>
    <x:t xml:space="preserve">modern|gruul-valakut|none</x:t>
  </x:si>
  <x:si>
    <x:t xml:space="preserve">boros-land-destruction</x:t>
  </x:si>
  <x:si>
    <x:t xml:space="preserve">红白 Ponza</x:t>
  </x:si>
  <x:si>
    <x:t xml:space="preserve">红白炸地</x:t>
  </x:si>
  <x:si>
    <x:t xml:space="preserve">modern|boros-land-destruction|none</x:t>
  </x:si>
  <x:si>
    <x:t xml:space="preserve">gruul-midrange</x:t>
  </x:si>
  <x:si>
    <x:t xml:space="preserve">Gruul Midrange</x:t>
  </x:si>
  <x:si>
    <x:t xml:space="preserve">红绿中速</x:t>
  </x:si>
  <x:si>
    <x:t xml:space="preserve">modern|gruul-midrange|none</x:t>
  </x:si>
  <x:si>
    <x:t xml:space="preserve">domain-zoo</x:t>
  </x:si>
  <x:si>
    <x:t xml:space="preserve">领域动物园</x:t>
  </x:si>
  <x:si>
    <x:t xml:space="preserve">领土动物园</x:t>
  </x:si>
  <x:si>
    <x:t xml:space="preserve">modern|domain-zoo|none</x:t>
  </x:si>
  <x:si>
    <x:t xml:space="preserve">five-color-elementals</x:t>
  </x:si>
  <x:si>
    <x:t xml:space="preserve">五色元素</x:t>
  </x:si>
  <x:si>
    <x:t xml:space="preserve">modern|five-color-elementals|none</x:t>
  </x:si>
  <x:si>
    <x:t xml:space="preserve">mono-blue-belcher</x:t>
  </x:si>
  <x:si>
    <x:t xml:space="preserve">纯蓝喷火炮</x:t>
  </x:si>
  <x:si>
    <x:t xml:space="preserve">modern|mono-blue-belcher|none</x:t>
  </x:si>
  <x:si>
    <x:t xml:space="preserve">boros-belcher</x:t>
  </x:si>
  <x:si>
    <x:t xml:space="preserve">Boros Belcher</x:t>
  </x:si>
  <x:si>
    <x:t xml:space="preserve">红白喷火炮</x:t>
  </x:si>
  <x:si>
    <x:t xml:space="preserve">modern|boros-belcher|none</x:t>
  </x:si>
  <x:si>
    <x:t xml:space="preserve">oculus-ritual</x:t>
  </x:si>
  <x:si>
    <x:t xml:space="preserve">大眼</x:t>
  </x:si>
  <x:si>
    <x:t xml:space="preserve">仪式大眼</x:t>
  </x:si>
  <x:si>
    <x:t xml:space="preserve">modern|oculus-ritual|none</x:t>
  </x:si>
  <x:si>
    <x:t xml:space="preserve">sultai</x:t>
  </x:si>
  <x:si>
    <x:t xml:space="preserve">Sultai</x:t>
  </x:si>
  <x:si>
    <x:t xml:space="preserve">Sultai Oculus Ritual</x:t>
  </x:si>
  <x:si>
    <x:t xml:space="preserve">苏勒台掘大眼祭礼</x:t>
  </x:si>
  <x:si>
    <x:t xml:space="preserve">modern|oculus-ritual|sultai</x:t>
  </x:si>
  <x:si>
    <x:t xml:space="preserve">Temur Oculus Ritual</x:t>
  </x:si>
  <x:si>
    <x:t xml:space="preserve">铁木尔掘大眼祭礼</x:t>
  </x:si>
  <x:si>
    <x:t xml:space="preserve">铁木尔大眼</x:t>
  </x:si>
  <x:si>
    <x:t xml:space="preserve">modern|oculus-ritual|temur</x:t>
  </x:si>
  <x:si>
    <x:t xml:space="preserve">Simic Oculus Ritual</x:t>
  </x:si>
  <x:si>
    <x:t xml:space="preserve">蓝绿掘大眼祭礼</x:t>
  </x:si>
  <x:si>
    <x:t xml:space="preserve">蓝绿大眼</x:t>
  </x:si>
  <x:si>
    <x:t xml:space="preserve">modern|oculus-ritual|simic</x:t>
  </x:si>
  <x:si>
    <x:t xml:space="preserve">five-color-ritual</x:t>
  </x:si>
  <x:si>
    <x:t xml:space="preserve">Five-Color Ritual</x:t>
  </x:si>
  <x:si>
    <x:t xml:space="preserve">五色祭礼</x:t>
  </x:si>
  <x:si>
    <x:t xml:space="preserve">五色仪式</x:t>
  </x:si>
  <x:si>
    <x:t xml:space="preserve">modern|five-color-ritual|none</x:t>
  </x:si>
  <x:si>
    <x:t xml:space="preserve">sam-combo</x:t>
  </x:si>
  <x:si>
    <x:t xml:space="preserve">Sam Combo</x:t>
  </x:si>
  <x:si>
    <x:t xml:space="preserve">Sam 组合技</x:t>
  </x:si>
  <x:si>
    <x:t xml:space="preserve">山姆组合技</x:t>
  </x:si>
  <x:si>
    <x:t xml:space="preserve">modern|sam-combo|none</x:t>
  </x:si>
  <x:si>
    <x:t xml:space="preserve">golgari-yawgmoth</x:t>
  </x:si>
  <x:si>
    <x:t xml:space="preserve">黑绿约格莫夫</x:t>
  </x:si>
  <x:si>
    <x:t xml:space="preserve">约哥</x:t>
  </x:si>
  <x:si>
    <x:t xml:space="preserve">modern|golgari-yawgmoth|none</x:t>
  </x:si>
  <x:si>
    <x:t xml:space="preserve">broodscale-combo</x:t>
  </x:si>
  <x:si>
    <x:t xml:space="preserve">孳巢蜥</x:t>
  </x:si>
  <x:si>
    <x:t xml:space="preserve">孳巢蜥组合技</x:t>
  </x:si>
  <x:si>
    <x:t xml:space="preserve">modern|broodscale-combo|none</x:t>
  </x:si>
  <x:si>
    <x:t xml:space="preserve">golgari</x:t>
  </x:si>
  <x:si>
    <x:t xml:space="preserve">Golgari</x:t>
  </x:si>
  <x:si>
    <x:t xml:space="preserve">Golgari Broodscale Combo</x:t>
  </x:si>
  <x:si>
    <x:t xml:space="preserve">黑绿育鳞组合技</x:t>
  </x:si>
  <x:si>
    <x:t xml:space="preserve">黑绿孳巢蜥</x:t>
  </x:si>
  <x:si>
    <x:t xml:space="preserve">modern|broodscale-combo|golgari</x:t>
  </x:si>
  <x:si>
    <x:t xml:space="preserve">Gruul Broodscale Combo</x:t>
  </x:si>
  <x:si>
    <x:t xml:space="preserve">红绿育鳞组合技</x:t>
  </x:si>
  <x:si>
    <x:t xml:space="preserve">红绿孳巢蜥</x:t>
  </x:si>
  <x:si>
    <x:t xml:space="preserve">modern|broodscale-combo|gruul</x:t>
  </x:si>
  <x:si>
    <x:t xml:space="preserve">mono-green</x:t>
  </x:si>
  <x:si>
    <x:t xml:space="preserve">Mono-Green</x:t>
  </x:si>
  <x:si>
    <x:t xml:space="preserve">Mono-Green Broodscale Combo</x:t>
  </x:si>
  <x:si>
    <x:t xml:space="preserve">纯绿育鳞组合技</x:t>
  </x:si>
  <x:si>
    <x:t xml:space="preserve">纯绿孳巢蜥</x:t>
  </x:si>
  <x:si>
    <x:t xml:space="preserve">modern|broodscale-combo|mono-green</x:t>
  </x:si>
  <x:si>
    <x:t xml:space="preserve">Simic Broodscale Combo</x:t>
  </x:si>
  <x:si>
    <x:t xml:space="preserve">蓝绿育鳞组合技</x:t>
  </x:si>
  <x:si>
    <x:t xml:space="preserve">蓝绿孳巢蜥</x:t>
  </x:si>
  <x:si>
    <x:t xml:space="preserve">modern|broodscale-combo|simic</x:t>
  </x:si>
  <x:si>
    <x:t xml:space="preserve">eldrazi-tron</x:t>
  </x:si>
  <x:si>
    <x:t xml:space="preserve">奥塔</x:t>
  </x:si>
  <x:si>
    <x:t xml:space="preserve">modern|eldrazi-tron|none</x:t>
  </x:si>
  <x:si>
    <x:t xml:space="preserve">mono-black</x:t>
  </x:si>
  <x:si>
    <x:t xml:space="preserve">Mono-Black</x:t>
  </x:si>
  <x:si>
    <x:t xml:space="preserve">Mono-Black Eldrazi Tron</x:t>
  </x:si>
  <x:si>
    <x:t xml:space="preserve">纯黑 Eldrazi 塔脉炉</x:t>
  </x:si>
  <x:si>
    <x:t xml:space="preserve">纯黑奥塔</x:t>
  </x:si>
  <x:si>
    <x:t xml:space="preserve">modern|eldrazi-tron|mono-black</x:t>
  </x:si>
  <x:si>
    <x:t xml:space="preserve">Mono-Green Eldrazi Tron</x:t>
  </x:si>
  <x:si>
    <x:t xml:space="preserve">纯绿 Eldrazi 塔脉炉</x:t>
  </x:si>
  <x:si>
    <x:t xml:space="preserve">纯绿奥塔</x:t>
  </x:si>
  <x:si>
    <x:t xml:space="preserve">modern|eldrazi-tron|mono-green</x:t>
  </x:si>
  <x:si>
    <x:t xml:space="preserve">colorless</x:t>
  </x:si>
  <x:si>
    <x:t xml:space="preserve">Colorless</x:t>
  </x:si>
  <x:si>
    <x:t xml:space="preserve">Colorless Eldrazi Tron</x:t>
  </x:si>
  <x:si>
    <x:t xml:space="preserve">无色 Eldrazi 塔脉炉</x:t>
  </x:si>
  <x:si>
    <x:t xml:space="preserve">无色奥塔</x:t>
  </x:si>
  <x:si>
    <x:t xml:space="preserve">modern|eldrazi-tron|colorless</x:t>
  </x:si>
  <x:si>
    <x:t xml:space="preserve">mono-black-eldrazi</x:t>
  </x:si>
  <x:si>
    <x:t xml:space="preserve">Mono-Black Eldrazi</x:t>
  </x:si>
  <x:si>
    <x:t xml:space="preserve">纯黑 Eldrazi</x:t>
  </x:si>
  <x:si>
    <x:t xml:space="preserve">黑奥札奇</x:t>
  </x:si>
  <x:si>
    <x:t xml:space="preserve">modern|mono-black-eldrazi|none</x:t>
  </x:si>
  <x:si>
    <x:t xml:space="preserve">eldrazi-ramp</x:t>
  </x:si>
  <x:si>
    <x:t xml:space="preserve">Sultai Eldrazi Ramp</x:t>
  </x:si>
  <x:si>
    <x:t xml:space="preserve">苏勒台 Eldrazi 加速</x:t>
  </x:si>
  <x:si>
    <x:t xml:space="preserve">苏勒台奥扎奇</x:t>
  </x:si>
  <x:si>
    <x:t xml:space="preserve">modern|eldrazi-ramp|sultai</x:t>
  </x:si>
  <x:si>
    <x:t xml:space="preserve">Golgari Eldrazi Ramp</x:t>
  </x:si>
  <x:si>
    <x:t xml:space="preserve">黑绿 Eldrazi 加速</x:t>
  </x:si>
  <x:si>
    <x:t xml:space="preserve">黑绿奥札奇</x:t>
  </x:si>
  <x:si>
    <x:t xml:space="preserve">modern|eldrazi-ramp|golgari</x:t>
  </x:si>
  <x:si>
    <x:t xml:space="preserve">Temur Eldrazi Ramp</x:t>
  </x:si>
  <x:si>
    <x:t xml:space="preserve">铁木尔 Eldrazi 加速</x:t>
  </x:si>
  <x:si>
    <x:t xml:space="preserve">铁木尔奥札奇</x:t>
  </x:si>
  <x:si>
    <x:t xml:space="preserve">modern|eldrazi-ramp|temur</x:t>
  </x:si>
  <x:si>
    <x:t xml:space="preserve">Simic Eldrazi Ramp</x:t>
  </x:si>
  <x:si>
    <x:t xml:space="preserve">蓝绿 Eldrazi 加速</x:t>
  </x:si>
  <x:si>
    <x:t xml:space="preserve">蓝绿奥札奇</x:t>
  </x:si>
  <x:si>
    <x:t xml:space="preserve">modern|eldrazi-ramp|simic</x:t>
  </x:si>
  <x:si>
    <x:t xml:space="preserve">Gruul Eldrazi Ramp</x:t>
  </x:si>
  <x:si>
    <x:t xml:space="preserve">红绿 Eldrazi 加速</x:t>
  </x:si>
  <x:si>
    <x:t xml:space="preserve">红绿奥札奇</x:t>
  </x:si>
  <x:si>
    <x:t xml:space="preserve">modern|eldrazi-ramp|gruul</x:t>
  </x:si>
  <x:si>
    <x:t xml:space="preserve">Eldrazi 加速</x:t>
  </x:si>
  <x:si>
    <x:t xml:space="preserve">奥札奇Ramp</x:t>
  </x:si>
  <x:si>
    <x:t xml:space="preserve">modern|eldrazi-ramp|none</x:t>
  </x:si>
  <x:si>
    <x:t xml:space="preserve">mono-green-trudge</x:t>
  </x:si>
  <x:si>
    <x:t xml:space="preserve">Mono-Green Trudge</x:t>
  </x:si>
  <x:si>
    <x:t xml:space="preserve">纯绿 Trudge</x:t>
  </x:si>
  <x:si>
    <x:t xml:space="preserve">纯绿楚吉兽</x:t>
  </x:si>
  <x:si>
    <x:t xml:space="preserve">modern|mono-green-trudge|none</x:t>
  </x:si>
  <x:si>
    <x:t xml:space="preserve">fight-rigging</x:t>
  </x:si>
  <x:si>
    <x:t xml:space="preserve">搏斗装置</x:t>
  </x:si>
  <x:si>
    <x:t xml:space="preserve">操纵比赛</x:t>
  </x:si>
  <x:si>
    <x:t xml:space="preserve">modern|fight-rigging|none</x:t>
  </x:si>
  <x:si>
    <x:t xml:space="preserve">eldrazi-aggro</x:t>
  </x:si>
  <x:si>
    <x:t xml:space="preserve">Eldrazi Aggro</x:t>
  </x:si>
  <x:si>
    <x:t xml:space="preserve">Eldrazi 快攻</x:t>
  </x:si>
  <x:si>
    <x:t xml:space="preserve">奥札奇快攻</x:t>
  </x:si>
  <x:si>
    <x:t xml:space="preserve">modern|eldrazi-aggro|none</x:t>
  </x:si>
  <x:si>
    <x:t xml:space="preserve">mono-green-stompy</x:t>
  </x:si>
  <x:si>
    <x:t xml:space="preserve">Mono-Green Stompy</x:t>
  </x:si>
  <x:si>
    <x:t xml:space="preserve">纯绿 Stompy</x:t>
  </x:si>
  <x:si>
    <x:t xml:space="preserve">纯绿猛袭</x:t>
  </x:si>
  <x:si>
    <x:t xml:space="preserve">modern|mono-green-stompy|none</x:t>
  </x:si>
  <x:si>
    <x:t xml:space="preserve">eldrazi-ouroboroid</x:t>
  </x:si>
  <x:si>
    <x:t xml:space="preserve">Eldrazi Ouroboroid</x:t>
  </x:si>
  <x:si>
    <x:t xml:space="preserve">奥札奇衔尾蛇</x:t>
  </x:si>
  <x:si>
    <x:t xml:space="preserve">奥札奇蔓蛇</x:t>
  </x:si>
  <x:si>
    <x:t xml:space="preserve">modern|eldrazi-ouroboroid|none</x:t>
  </x:si>
  <x:si>
    <x:t xml:space="preserve">izzet-storm</x:t>
  </x:si>
  <x:si>
    <x:t xml:space="preserve">Izzet Storm</x:t>
  </x:si>
  <x:si>
    <x:t xml:space="preserve">蓝红风暴</x:t>
  </x:si>
  <x:si>
    <x:t xml:space="preserve">红蓝风暴</x:t>
  </x:si>
  <x:si>
    <x:t xml:space="preserve">modern|izzet-storm|none</x:t>
  </x:si>
  <x:si>
    <x:t xml:space="preserve">ruby-storm</x:t>
  </x:si>
  <x:si>
    <x:t xml:space="preserve">Ruby 风暴</x:t>
  </x:si>
  <x:si>
    <x:t xml:space="preserve">红宝石风暴</x:t>
  </x:si>
  <x:si>
    <x:t xml:space="preserve">modern|ruby-storm|none</x:t>
  </x:si>
  <x:si>
    <x:t xml:space="preserve">living-end</x:t>
  </x:si>
  <x:si>
    <x:t xml:space="preserve">走骨</x:t>
  </x:si>
  <x:si>
    <x:t xml:space="preserve">modern|living-end|none</x:t>
  </x:si>
  <x:si>
    <x:t xml:space="preserve">Four-Color Living End</x:t>
  </x:si>
  <x:si>
    <x:t xml:space="preserve">四色活死人</x:t>
  </x:si>
  <x:si>
    <x:t xml:space="preserve">四色走骨</x:t>
  </x:si>
  <x:si>
    <x:t xml:space="preserve">modern|living-end|four-color</x:t>
  </x:si>
  <x:si>
    <x:t xml:space="preserve">Temur Living End</x:t>
  </x:si>
  <x:si>
    <x:t xml:space="preserve">铁木尔活死人</x:t>
  </x:si>
  <x:si>
    <x:t xml:space="preserve">铁木尔走骨</x:t>
  </x:si>
  <x:si>
    <x:t xml:space="preserve">modern|living-end|temur</x:t>
  </x:si>
  <x:si>
    <x:t xml:space="preserve">Sultai Living End</x:t>
  </x:si>
  <x:si>
    <x:t xml:space="preserve">苏勒台活死人</x:t>
  </x:si>
  <x:si>
    <x:t xml:space="preserve">苏勒台走骨</x:t>
  </x:si>
  <x:si>
    <x:t xml:space="preserve">modern|living-end|sultai</x:t>
  </x:si>
  <x:si>
    <x:t xml:space="preserve">Bant Living End</x:t>
  </x:si>
  <x:si>
    <x:t xml:space="preserve">班特活死人</x:t>
  </x:si>
  <x:si>
    <x:t xml:space="preserve">班特走骨</x:t>
  </x:si>
  <x:si>
    <x:t xml:space="preserve">modern|living-end|bant</x:t>
  </x:si>
  <x:si>
    <x:t xml:space="preserve">Rakdos Living End</x:t>
  </x:si>
  <x:si>
    <x:t xml:space="preserve">红黑活死人</x:t>
  </x:si>
  <x:si>
    <x:t xml:space="preserve">红黑走骨</x:t>
  </x:si>
  <x:si>
    <x:t xml:space="preserve">modern|living-end|rakdos</x:t>
  </x:si>
  <x:si>
    <x:t xml:space="preserve">dimir-mill</x:t>
  </x:si>
  <x:si>
    <x:t xml:space="preserve">蓝黑磨牌库</x:t>
  </x:si>
  <x:si>
    <x:t xml:space="preserve">modern|dimir-mill|none</x:t>
  </x:si>
  <x:si>
    <x:t xml:space="preserve">simic-neoform</x:t>
  </x:si>
  <x:si>
    <x:t xml:space="preserve">蓝绿 Neoform</x:t>
  </x:si>
  <x:si>
    <x:t xml:space="preserve">一新棘泽边</x:t>
  </x:si>
  <x:si>
    <x:t xml:space="preserve">modern|simic-neoform|none</x:t>
  </x:si>
  <x:si>
    <x:t xml:space="preserve">dredge</x:t>
  </x:si>
  <x:si>
    <x:t xml:space="preserve">Dredge</x:t>
  </x:si>
  <x:si>
    <x:t xml:space="preserve">发掘</x:t>
  </x:si>
  <x:si>
    <x:t xml:space="preserve">modern|dredge|none</x:t>
  </x:si>
  <x:si>
    <x:t xml:space="preserve">izzet-phoenix</x:t>
  </x:si>
  <x:si>
    <x:t xml:space="preserve">Izzet Phoenix</x:t>
  </x:si>
  <x:si>
    <x:t xml:space="preserve">蓝红凤凰</x:t>
  </x:si>
  <x:si>
    <x:t xml:space="preserve">红蓝凤凰</x:t>
  </x:si>
  <x:si>
    <x:t xml:space="preserve">modern|izzet-phoenix|none</x:t>
  </x:si>
  <x:si>
    <x:t xml:space="preserve">burn</x:t>
  </x:si>
  <x:si>
    <x:t xml:space="preserve">Burn</x:t>
  </x:si>
  <x:si>
    <x:t xml:space="preserve">烧</x:t>
  </x:si>
  <x:si>
    <x:t xml:space="preserve">modern|burn|none</x:t>
  </x:si>
  <x:si>
    <x:t xml:space="preserve">modern|burn|boros</x:t>
  </x:si>
  <x:si>
    <x:t xml:space="preserve">Rakdos Burn</x:t>
  </x:si>
  <x:si>
    <x:t xml:space="preserve">红黑烧</x:t>
  </x:si>
  <x:si>
    <x:t xml:space="preserve">modern|burn|rakdos</x:t>
  </x:si>
  <x:si>
    <x:t xml:space="preserve">modern|burn|mono-red</x:t>
  </x:si>
  <x:si>
    <x:t xml:space="preserve">temur-reclamation</x:t>
  </x:si>
  <x:si>
    <x:t xml:space="preserve">Temur Reclamation</x:t>
  </x:si>
  <x:si>
    <x:t xml:space="preserve">铁木尔复归荒野</x:t>
  </x:si>
  <x:si>
    <x:t xml:space="preserve">铁木尔复归</x:t>
  </x:si>
  <x:si>
    <x:t xml:space="preserve">modern|temur-reclamation|none</x:t>
  </x:si>
  <x:si>
    <x:t xml:space="preserve">bant-reclamation</x:t>
  </x:si>
  <x:si>
    <x:t xml:space="preserve">Bant Reclamation</x:t>
  </x:si>
  <x:si>
    <x:t xml:space="preserve">班特复归荒野</x:t>
  </x:si>
  <x:si>
    <x:t xml:space="preserve">班特复归</x:t>
  </x:si>
  <x:si>
    <x:t xml:space="preserve">modern|bant-reclamation|none</x:t>
  </x:si>
  <x:si>
    <x:t xml:space="preserve">chant-control</x:t>
  </x:si>
  <x:si>
    <x:t xml:space="preserve">吟颂</x:t>
  </x:si>
  <x:si>
    <x:t xml:space="preserve">吟颂控制</x:t>
  </x:si>
  <x:si>
    <x:t xml:space="preserve">modern|chant-control|none</x:t>
  </x:si>
  <x:si>
    <x:t xml:space="preserve">Jeskai Chant Control</x:t>
  </x:si>
  <x:si>
    <x:t xml:space="preserve">洁斯凯 Chant 控制</x:t>
  </x:si>
  <x:si>
    <x:t xml:space="preserve">洁斯凯吟颂</x:t>
  </x:si>
  <x:si>
    <x:t xml:space="preserve">modern|chant-control|jeskai</x:t>
  </x:si>
  <x:si>
    <x:t xml:space="preserve">azorius</x:t>
  </x:si>
  <x:si>
    <x:t xml:space="preserve">Azorius</x:t>
  </x:si>
  <x:si>
    <x:t xml:space="preserve">Azorius Chant Control</x:t>
  </x:si>
  <x:si>
    <x:t xml:space="preserve">蓝白 Chant 控制</x:t>
  </x:si>
  <x:si>
    <x:t xml:space="preserve">蓝白吟颂</x:t>
  </x:si>
  <x:si>
    <x:t xml:space="preserve">modern|chant-control|azorius</x:t>
  </x:si>
  <x:si>
    <x:t xml:space="preserve">modern|jeskai-control|none</x:t>
  </x:si>
  <x:si>
    <x:t xml:space="preserve">modern|azorius-control|none</x:t>
  </x:si>
  <x:si>
    <x:t xml:space="preserve">necrodominance</x:t>
  </x:si>
  <x:si>
    <x:t xml:space="preserve">死冥</x:t>
  </x:si>
  <x:si>
    <x:t xml:space="preserve">死冥霸权</x:t>
  </x:si>
  <x:si>
    <x:t xml:space="preserve">modern|necrodominance|none</x:t>
  </x:si>
  <x:si>
    <x:t xml:space="preserve">Golgari Necrodominance</x:t>
  </x:si>
  <x:si>
    <x:t xml:space="preserve">黑绿死冥</x:t>
  </x:si>
  <x:si>
    <x:t xml:space="preserve">modern|necrodominance|golgari</x:t>
  </x:si>
  <x:si>
    <x:t xml:space="preserve">dimir</x:t>
  </x:si>
  <x:si>
    <x:t xml:space="preserve">Dimir</x:t>
  </x:si>
  <x:si>
    <x:t xml:space="preserve">Dimir Necrodominance</x:t>
  </x:si>
  <x:si>
    <x:t xml:space="preserve">蓝黑死冥</x:t>
  </x:si>
  <x:si>
    <x:t xml:space="preserve">modern|necrodominance|dimir</x:t>
  </x:si>
  <x:si>
    <x:t xml:space="preserve">Rakdos Necrodominance</x:t>
  </x:si>
  <x:si>
    <x:t xml:space="preserve">红黑死冥</x:t>
  </x:si>
  <x:si>
    <x:t xml:space="preserve">modern|necrodominance|rakdos</x:t>
  </x:si>
  <x:si>
    <x:t xml:space="preserve">Mono-Black Necrodominance</x:t>
  </x:si>
  <x:si>
    <x:t xml:space="preserve">纯黑死冥</x:t>
  </x:si>
  <x:si>
    <x:t xml:space="preserve">modern|necrodominance|mono-black</x:t>
  </x:si>
  <x:si>
    <x:t xml:space="preserve">cosmogoyf</x:t>
  </x:si>
  <x:si>
    <x:t xml:space="preserve">Cosmogoyf Necrodominance</x:t>
  </x:si>
  <x:si>
    <x:t xml:space="preserve">Cosmogoyf 死冥</x:t>
  </x:si>
  <x:si>
    <x:t xml:space="preserve">耶夫死冥</x:t>
  </x:si>
  <x:si>
    <x:t xml:space="preserve">modern|necrodominance|cosmogoyf</x:t>
  </x:si>
  <x:si>
    <x:t xml:space="preserve">coffers</x:t>
  </x:si>
  <x:si>
    <x:t xml:space="preserve">Coffers</x:t>
  </x:si>
  <x:si>
    <x:t xml:space="preserve">金库</x:t>
  </x:si>
  <x:si>
    <x:t xml:space="preserve">大黑金库</x:t>
  </x:si>
  <x:si>
    <x:t xml:space="preserve">modern|coffers|none</x:t>
  </x:si>
  <x:si>
    <x:t xml:space="preserve">Dimir Coffers</x:t>
  </x:si>
  <x:si>
    <x:t xml:space="preserve">蓝黑 Coffers</x:t>
  </x:si>
  <x:si>
    <x:t xml:space="preserve">蓝黑金库</x:t>
  </x:si>
  <x:si>
    <x:t xml:space="preserve">modern|coffers|dimir</x:t>
  </x:si>
  <x:si>
    <x:t xml:space="preserve">Golgari Coffers</x:t>
  </x:si>
  <x:si>
    <x:t xml:space="preserve">黑绿 Coffers</x:t>
  </x:si>
  <x:si>
    <x:t xml:space="preserve">黑绿金库</x:t>
  </x:si>
  <x:si>
    <x:t xml:space="preserve">modern|coffers|golgari</x:t>
  </x:si>
  <x:si>
    <x:t xml:space="preserve">umori</x:t>
  </x:si>
  <x:si>
    <x:t xml:space="preserve">Umori</x:t>
  </x:si>
  <x:si>
    <x:t xml:space="preserve">Umori Coffers</x:t>
  </x:si>
  <x:si>
    <x:t xml:space="preserve">乌摩利黑土</x:t>
  </x:si>
  <x:si>
    <x:t xml:space="preserve">乌墨理金库</x:t>
  </x:si>
  <x:si>
    <x:t xml:space="preserve">modern|coffers|umori</x:t>
  </x:si>
  <x:si>
    <x:t xml:space="preserve">eight-rack</x:t>
  </x:si>
  <x:si>
    <x:t xml:space="preserve">8-Rack</x:t>
  </x:si>
  <x:si>
    <x:t xml:space="preserve">八柜</x:t>
  </x:si>
  <x:si>
    <x:t xml:space="preserve">拷问台</x:t>
  </x:si>
  <x:si>
    <x:t xml:space="preserve">modern|eight-rack|none</x:t>
  </x:si>
  <x:si>
    <x:t xml:space="preserve">dark-maestro</x:t>
  </x:si>
  <x:si>
    <x:t xml:space="preserve">Dark Maestro</x:t>
  </x:si>
  <x:si>
    <x:t xml:space="preserve">黑底 Maestro</x:t>
  </x:si>
  <x:si>
    <x:t xml:space="preserve">红黑名师</x:t>
  </x:si>
  <x:si>
    <x:t xml:space="preserve">modern|dark-maestro|none</x:t>
  </x:si>
  <x:si>
    <x:t xml:space="preserve">fling-goyf</x:t>
  </x:si>
  <x:si>
    <x:t xml:space="preserve">投掷 Goyf</x:t>
  </x:si>
  <x:si>
    <x:t xml:space="preserve">投掷耶夫</x:t>
  </x:si>
  <x:si>
    <x:t xml:space="preserve">modern|fling-goyf|none</x:t>
  </x:si>
  <x:si>
    <x:t xml:space="preserve">five-color-creativity</x:t>
  </x:si>
  <x:si>
    <x:t xml:space="preserve">Five-Color Creativity</x:t>
  </x:si>
  <x:si>
    <x:t xml:space="preserve">五色创造力</x:t>
  </x:si>
  <x:si>
    <x:t xml:space="preserve">五色创新</x:t>
  </x:si>
  <x:si>
    <x:t xml:space="preserve">modern|five-color-creativity|none</x:t>
  </x:si>
  <x:si>
    <x:t xml:space="preserve">hammer-time</x:t>
  </x:si>
  <x:si>
    <x:t xml:space="preserve">Hammer Time</x:t>
  </x:si>
  <x:si>
    <x:t xml:space="preserve">大锤</x:t>
  </x:si>
  <x:si>
    <x:t xml:space="preserve">modern|hammer-time|none</x:t>
  </x:si>
  <x:si>
    <x:t xml:space="preserve">Jeskai Hammer Time</x:t>
  </x:si>
  <x:si>
    <x:t xml:space="preserve">洁斯凯锤子</x:t>
  </x:si>
  <x:si>
    <x:t xml:space="preserve">洁斯凯大锤</x:t>
  </x:si>
  <x:si>
    <x:t xml:space="preserve">modern|hammer-time|jeskai</x:t>
  </x:si>
  <x:si>
    <x:t xml:space="preserve">Azorius Hammer Time</x:t>
  </x:si>
  <x:si>
    <x:t xml:space="preserve">蓝白锤子</x:t>
  </x:si>
  <x:si>
    <x:t xml:space="preserve">蓝白大锤</x:t>
  </x:si>
  <x:si>
    <x:t xml:space="preserve">modern|hammer-time|azorius</x:t>
  </x:si>
  <x:si>
    <x:t xml:space="preserve">Boros Hammer Time</x:t>
  </x:si>
  <x:si>
    <x:t xml:space="preserve">红白锤子</x:t>
  </x:si>
  <x:si>
    <x:t xml:space="preserve">红白大锤</x:t>
  </x:si>
  <x:si>
    <x:t xml:space="preserve">modern|hammer-time|boros</x:t>
  </x:si>
  <x:si>
    <x:t xml:space="preserve">mono-white</x:t>
  </x:si>
  <x:si>
    <x:t xml:space="preserve">Mono-White</x:t>
  </x:si>
  <x:si>
    <x:t xml:space="preserve">Mono-White Hammer Time</x:t>
  </x:si>
  <x:si>
    <x:t xml:space="preserve">纯白锤子</x:t>
  </x:si>
  <x:si>
    <x:t xml:space="preserve">纯白大锤</x:t>
  </x:si>
  <x:si>
    <x:t xml:space="preserve">modern|hammer-time|mono-white</x:t>
  </x:si>
  <x:si>
    <x:t xml:space="preserve">devoted-druid-combo</x:t>
  </x:si>
  <x:si>
    <x:t xml:space="preserve">缓伤</x:t>
  </x:si>
  <x:si>
    <x:t xml:space="preserve">缓伤组合技</x:t>
  </x:si>
  <x:si>
    <x:t xml:space="preserve">modern|devoted-druid-combo|none</x:t>
  </x:si>
  <x:si>
    <x:t xml:space="preserve">abzan</x:t>
  </x:si>
  <x:si>
    <x:t xml:space="preserve">Abzan</x:t>
  </x:si>
  <x:si>
    <x:t xml:space="preserve">Abzan Devoted Druid Combo</x:t>
  </x:si>
  <x:si>
    <x:t xml:space="preserve">阿布赞 Devoted Druid 组合技</x:t>
  </x:si>
  <x:si>
    <x:t xml:space="preserve">阿布赞缓伤</x:t>
  </x:si>
  <x:si>
    <x:t xml:space="preserve">modern|devoted-druid-combo|abzan</x:t>
  </x:si>
  <x:si>
    <x:t xml:space="preserve">selesnya</x:t>
  </x:si>
  <x:si>
    <x:t xml:space="preserve">Selesnya</x:t>
  </x:si>
  <x:si>
    <x:t xml:space="preserve">Selesnya Devoted Druid Combo</x:t>
  </x:si>
  <x:si>
    <x:t xml:space="preserve">绿白 Devoted Druid 组合技</x:t>
  </x:si>
  <x:si>
    <x:t xml:space="preserve">白绿缓伤</x:t>
  </x:si>
  <x:si>
    <x:t xml:space="preserve">modern|devoted-druid-combo|selesnya</x:t>
  </x:si>
  <x:si>
    <x:t xml:space="preserve">badgermole-combo</x:t>
  </x:si>
  <x:si>
    <x:t xml:space="preserve">Badgermole Combo</x:t>
  </x:si>
  <x:si>
    <x:t xml:space="preserve">獾地鼠</x:t>
  </x:si>
  <x:si>
    <x:t xml:space="preserve">獾地鼠组合技</x:t>
  </x:si>
  <x:si>
    <x:t xml:space="preserve">modern|badgermole-combo|none</x:t>
  </x:si>
  <x:si>
    <x:t xml:space="preserve">Golgari Badgermole Combo</x:t>
  </x:si>
  <x:si>
    <x:t xml:space="preserve">黑绿 Badgermole 组合技</x:t>
  </x:si>
  <x:si>
    <x:t xml:space="preserve">黑绿獾地鼠</x:t>
  </x:si>
  <x:si>
    <x:t xml:space="preserve">modern|badgermole-combo|golgari</x:t>
  </x:si>
  <x:si>
    <x:t xml:space="preserve">Mono-Green Badgermole Combo</x:t>
  </x:si>
  <x:si>
    <x:t xml:space="preserve">纯绿 Badgermole 组合技</x:t>
  </x:si>
  <x:si>
    <x:t xml:space="preserve">纯绿獾地鼠</x:t>
  </x:si>
  <x:si>
    <x:t xml:space="preserve">modern|badgermole-combo|mono-green</x:t>
  </x:si>
  <x:si>
    <x:t xml:space="preserve">landfall</x:t>
  </x:si>
  <x:si>
    <x:t xml:space="preserve">Landfall</x:t>
  </x:si>
  <x:si>
    <x:t xml:space="preserve">Landfall Badgermole Combo</x:t>
  </x:si>
  <x:si>
    <x:t xml:space="preserve">地落 Badgermole 组合技</x:t>
  </x:si>
  <x:si>
    <x:t xml:space="preserve">地落獾地鼠</x:t>
  </x:si>
  <x:si>
    <x:t xml:space="preserve">modern|badgermole-combo|landfall</x:t>
  </x:si>
  <x:si>
    <x:t xml:space="preserve">rhinos</x:t>
  </x:si>
  <x:si>
    <x:t xml:space="preserve">Rhinos</x:t>
  </x:si>
  <x:si>
    <x:t xml:space="preserve">犀牛</x:t>
  </x:si>
  <x:si>
    <x:t xml:space="preserve">modern|rhinos|none</x:t>
  </x:si>
  <x:si>
    <x:t xml:space="preserve">domain</x:t>
  </x:si>
  <x:si>
    <x:t xml:space="preserve">Domain</x:t>
  </x:si>
  <x:si>
    <x:t xml:space="preserve">Domain Rhinos</x:t>
  </x:si>
  <x:si>
    <x:t xml:space="preserve">领域犀牛</x:t>
  </x:si>
  <x:si>
    <x:t xml:space="preserve">领土犀牛</x:t>
  </x:si>
  <x:si>
    <x:t xml:space="preserve">modern|rhinos|domain</x:t>
  </x:si>
  <x:si>
    <x:t xml:space="preserve">Four-Color Rhinos</x:t>
  </x:si>
  <x:si>
    <x:t xml:space="preserve">四色犀牛</x:t>
  </x:si>
  <x:si>
    <x:t xml:space="preserve">modern|rhinos|four-color</x:t>
  </x:si>
  <x:si>
    <x:t xml:space="preserve">Temur Rhinos</x:t>
  </x:si>
  <x:si>
    <x:t xml:space="preserve">铁木尔犀牛</x:t>
  </x:si>
  <x:si>
    <x:t xml:space="preserve">modern|rhinos|temur</x:t>
  </x:si>
  <x:si>
    <x:t xml:space="preserve">lantern-control</x:t>
  </x:si>
  <x:si>
    <x:t xml:space="preserve">Lantern 控制</x:t>
  </x:si>
  <x:si>
    <x:t xml:space="preserve">明灯控</x:t>
  </x:si>
  <x:si>
    <x:t xml:space="preserve">modern|lantern-control|none</x:t>
  </x:si>
  <x:si>
    <x:t xml:space="preserve">izzet-twin</x:t>
  </x:si>
  <x:si>
    <x:t xml:space="preserve">Izzet Twin</x:t>
  </x:si>
  <x:si>
    <x:t xml:space="preserve">蓝红 Twin</x:t>
  </x:si>
  <x:si>
    <x:t xml:space="preserve">红蓝双身</x:t>
  </x:si>
  <x:si>
    <x:t xml:space="preserve">modern|izzet-twin|none</x:t>
  </x:si>
  <x:si>
    <x:t xml:space="preserve">modern|mono-blue-namor|none</x:t>
  </x:si>
  <x:si>
    <x:t xml:space="preserve">izzet-wizards</x:t>
  </x:si>
  <x:si>
    <x:t xml:space="preserve">蓝红 Wizards</x:t>
  </x:si>
  <x:si>
    <x:t xml:space="preserve">红蓝法术师</x:t>
  </x:si>
  <x:si>
    <x:t xml:space="preserve">modern|izzet-wizards|none</x:t>
  </x:si>
  <x:si>
    <x:t xml:space="preserve">deaths-shadow</x:t>
  </x:si>
  <x:si>
    <x:t xml:space="preserve">Death's Shadow</x:t>
  </x:si>
  <x:si>
    <x:t xml:space="preserve">死影</x:t>
  </x:si>
  <x:si>
    <x:t xml:space="preserve">modern|deaths-shadow|none</x:t>
  </x:si>
  <x:si>
    <x:t xml:space="preserve">Grixis Death's Shadow</x:t>
  </x:si>
  <x:si>
    <x:t xml:space="preserve">格利极死冥</x:t>
  </x:si>
  <x:si>
    <x:t xml:space="preserve">格利极死影</x:t>
  </x:si>
  <x:si>
    <x:t xml:space="preserve">modern|deaths-shadow|grixis</x:t>
  </x:si>
  <x:si>
    <x:t xml:space="preserve">Dimir Death's Shadow</x:t>
  </x:si>
  <x:si>
    <x:t xml:space="preserve">蓝黑死影</x:t>
  </x:si>
  <x:si>
    <x:t xml:space="preserve">modern|deaths-shadow|dimir</x:t>
  </x:si>
  <x:si>
    <x:t xml:space="preserve">Rakdos Death's Shadow</x:t>
  </x:si>
  <x:si>
    <x:t xml:space="preserve">红黑死影</x:t>
  </x:si>
  <x:si>
    <x:t xml:space="preserve">modern|deaths-shadow|rakdos</x:t>
  </x:si>
  <x:si>
    <x:t xml:space="preserve">golgari-delirium</x:t>
  </x:si>
  <x:si>
    <x:t xml:space="preserve">Golgari Delirium</x:t>
  </x:si>
  <x:si>
    <x:t xml:space="preserve">黑绿躁狂</x:t>
  </x:si>
  <x:si>
    <x:t xml:space="preserve">modern|golgari-delirium|none</x:t>
  </x:si>
  <x:si>
    <x:t xml:space="preserve">soultrader</x:t>
  </x:si>
  <x:si>
    <x:t xml:space="preserve">Soultrader</x:t>
  </x:si>
  <x:si>
    <x:t xml:space="preserve">易魂师</x:t>
  </x:si>
  <x:si>
    <x:t xml:space="preserve">易魂师组合技</x:t>
  </x:si>
  <x:si>
    <x:t xml:space="preserve">modern|soultrader|none</x:t>
  </x:si>
  <x:si>
    <x:t xml:space="preserve">orzhov</x:t>
  </x:si>
  <x:si>
    <x:t xml:space="preserve">Orzhov</x:t>
  </x:si>
  <x:si>
    <x:t xml:space="preserve">Orzhov Soultrader</x:t>
  </x:si>
  <x:si>
    <x:t xml:space="preserve">黑白灵魂商人</x:t>
  </x:si>
  <x:si>
    <x:t xml:space="preserve">黑白易魂师</x:t>
  </x:si>
  <x:si>
    <x:t xml:space="preserve">modern|soultrader|orzhov</x:t>
  </x:si>
  <x:si>
    <x:t xml:space="preserve">Sultai Soultrader</x:t>
  </x:si>
  <x:si>
    <x:t xml:space="preserve">苏勒台灵魂商人</x:t>
  </x:si>
  <x:si>
    <x:t xml:space="preserve">苏勒台易魂师</x:t>
  </x:si>
  <x:si>
    <x:t xml:space="preserve">modern|soultrader|sultai</x:t>
  </x:si>
  <x:si>
    <x:t xml:space="preserve">Dimir Soultrader</x:t>
  </x:si>
  <x:si>
    <x:t xml:space="preserve">蓝黑灵魂商人</x:t>
  </x:si>
  <x:si>
    <x:t xml:space="preserve">蓝黑易魂师</x:t>
  </x:si>
  <x:si>
    <x:t xml:space="preserve">modern|soultrader|dimir</x:t>
  </x:si>
  <x:si>
    <x:t xml:space="preserve">Golgari Soultrader</x:t>
  </x:si>
  <x:si>
    <x:t xml:space="preserve">黑绿灵魂商人</x:t>
  </x:si>
  <x:si>
    <x:t xml:space="preserve">黑绿易魂师</x:t>
  </x:si>
  <x:si>
    <x:t xml:space="preserve">modern|soultrader|golgari</x:t>
  </x:si>
  <x:si>
    <x:t xml:space="preserve">song-of-creation</x:t>
  </x:si>
  <x:si>
    <x:t xml:space="preserve">创生颂歌</x:t>
  </x:si>
  <x:si>
    <x:t xml:space="preserve">创生颂曲</x:t>
  </x:si>
  <x:si>
    <x:t xml:space="preserve">modern|song-of-creation|none</x:t>
  </x:si>
  <x:si>
    <x:t xml:space="preserve">pensive-combo</x:t>
  </x:si>
  <x:si>
    <x:t xml:space="preserve">Pensive Combo</x:t>
  </x:si>
  <x:si>
    <x:t xml:space="preserve">Pensive 组合技</x:t>
  </x:si>
  <x:si>
    <x:t xml:space="preserve">沉思组合技</x:t>
  </x:si>
  <x:si>
    <x:t xml:space="preserve">modern|pensive-combo|none</x:t>
  </x:si>
  <x:si>
    <x:t xml:space="preserve">modern|esper-control|none</x:t>
  </x:si>
  <x:si>
    <x:t xml:space="preserve">mono-blue-merfolk</x:t>
  </x:si>
  <x:si>
    <x:t xml:space="preserve">Mono-Blue Merfolk</x:t>
  </x:si>
  <x:si>
    <x:t xml:space="preserve">纯蓝人鱼</x:t>
  </x:si>
  <x:si>
    <x:t xml:space="preserve">modern|mono-blue-merfolk|none</x:t>
  </x:si>
  <x:si>
    <x:t xml:space="preserve">jund-sagavan</x:t>
  </x:si>
  <x:si>
    <x:t xml:space="preserve">Jund Sagavan</x:t>
  </x:si>
  <x:si>
    <x:t xml:space="preserve">勇得 Sagavan</x:t>
  </x:si>
  <x:si>
    <x:t xml:space="preserve">勇得Saga</x:t>
  </x:si>
  <x:si>
    <x:t xml:space="preserve">modern|jund-sagavan|none</x:t>
  </x:si>
  <x:si>
    <x:t xml:space="preserve">grixis-persist</x:t>
  </x:si>
  <x:si>
    <x:t xml:space="preserve">格利极留存</x:t>
  </x:si>
  <x:si>
    <x:t xml:space="preserve">modern|grixis-persist|none</x:t>
  </x:si>
  <x:si>
    <x:t xml:space="preserve">agadeem-persist</x:t>
  </x:si>
  <x:si>
    <x:t xml:space="preserve">Agadeem Persist</x:t>
  </x:si>
  <x:si>
    <x:t xml:space="preserve">Agadeem 留存</x:t>
  </x:si>
  <x:si>
    <x:t xml:space="preserve">艾格丁留存</x:t>
  </x:si>
  <x:si>
    <x:t xml:space="preserve">modern|agadeem-persist|none</x:t>
  </x:si>
  <x:si>
    <x:t xml:space="preserve">esper-persist</x:t>
  </x:si>
  <x:si>
    <x:t xml:space="preserve">Esper Persist</x:t>
  </x:si>
  <x:si>
    <x:t xml:space="preserve">艾斯波留存</x:t>
  </x:si>
  <x:si>
    <x:t xml:space="preserve">modern|esper-persist|none</x:t>
  </x:si>
  <x:si>
    <x:t xml:space="preserve">rakdos-persist</x:t>
  </x:si>
  <x:si>
    <x:t xml:space="preserve">Rakdos Persist</x:t>
  </x:si>
  <x:si>
    <x:t xml:space="preserve">红黑留存</x:t>
  </x:si>
  <x:si>
    <x:t xml:space="preserve">modern|rakdos-persist|none</x:t>
  </x:si>
  <x:si>
    <x:t xml:space="preserve">asmo-persist</x:t>
  </x:si>
  <x:si>
    <x:t xml:space="preserve">Asmo Persist</x:t>
  </x:si>
  <x:si>
    <x:t xml:space="preserve">Asmo 留存</x:t>
  </x:si>
  <x:si>
    <x:t xml:space="preserve">阿司魔留存</x:t>
  </x:si>
  <x:si>
    <x:t xml:space="preserve">modern|asmo-persist|none</x:t>
  </x:si>
  <x:si>
    <x:t xml:space="preserve">sultai-persist</x:t>
  </x:si>
  <x:si>
    <x:t xml:space="preserve">Sultai Persist</x:t>
  </x:si>
  <x:si>
    <x:t xml:space="preserve">苏勒台留存</x:t>
  </x:si>
  <x:si>
    <x:t xml:space="preserve">modern|sultai-persist|none</x:t>
  </x:si>
  <x:si>
    <x:t xml:space="preserve">gruul-cragganwick</x:t>
  </x:si>
  <x:si>
    <x:t xml:space="preserve">Gruul Cragganwick</x:t>
  </x:si>
  <x:si>
    <x:t xml:space="preserve">红绿 Cragganwick</x:t>
  </x:si>
  <x:si>
    <x:t xml:space="preserve">红绿火葬师</x:t>
  </x:si>
  <x:si>
    <x:t xml:space="preserve">modern|gruul-cragganwick|none</x:t>
  </x:si>
  <x:si>
    <x:t xml:space="preserve">cremator-goryos</x:t>
  </x:si>
  <x:si>
    <x:t xml:space="preserve">Cremator Goryo's</x:t>
  </x:si>
  <x:si>
    <x:t xml:space="preserve">火化机怨灵</x:t>
  </x:si>
  <x:si>
    <x:t xml:space="preserve">火葬师怨灵</x:t>
  </x:si>
  <x:si>
    <x:t xml:space="preserve">modern|cremator-goryos|none</x:t>
  </x:si>
  <x:si>
    <x:t xml:space="preserve">esper-goryos</x:t>
  </x:si>
  <x:si>
    <x:t xml:space="preserve">艾斯波怨灵</x:t>
  </x:si>
  <x:si>
    <x:t xml:space="preserve">modern|esper-goryos|none</x:t>
  </x:si>
  <x:si>
    <x:t xml:space="preserve">golgari-goryos</x:t>
  </x:si>
  <x:si>
    <x:t xml:space="preserve">Golgari Goryo's</x:t>
  </x:si>
  <x:si>
    <x:t xml:space="preserve">黑绿 Goryo's</x:t>
  </x:si>
  <x:si>
    <x:t xml:space="preserve">黑绿怨灵</x:t>
  </x:si>
  <x:si>
    <x:t xml:space="preserve">modern|golgari-goryos|none</x:t>
  </x:si>
  <x:si>
    <x:t xml:space="preserve">grixis-goryos</x:t>
  </x:si>
  <x:si>
    <x:t xml:space="preserve">Grixis Goryo's</x:t>
  </x:si>
  <x:si>
    <x:t xml:space="preserve">格利极 Goryo's</x:t>
  </x:si>
  <x:si>
    <x:t xml:space="preserve">格利极怨灵</x:t>
  </x:si>
  <x:si>
    <x:t xml:space="preserve">modern|grixis-goryos|none</x:t>
  </x:si>
  <x:si>
    <x:t xml:space="preserve">grixis-dress-down</x:t>
  </x:si>
  <x:si>
    <x:t xml:space="preserve">Grixis Dress Down</x:t>
  </x:si>
  <x:si>
    <x:t xml:space="preserve">格利极 Dress Down</x:t>
  </x:si>
  <x:si>
    <x:t xml:space="preserve">格利极武装</x:t>
  </x:si>
  <x:si>
    <x:t xml:space="preserve">modern|grixis-dress-down|none</x:t>
  </x:si>
  <x:si>
    <x:t xml:space="preserve">grixis-tempo</x:t>
  </x:si>
  <x:si>
    <x:t xml:space="preserve">Grixis Tempo</x:t>
  </x:si>
  <x:si>
    <x:t xml:space="preserve">格利极节奏</x:t>
  </x:si>
  <x:si>
    <x:t xml:space="preserve">modern|grixis-tempo|none</x:t>
  </x:si>
  <x:si>
    <x:t xml:space="preserve">dimir-tempo</x:t>
  </x:si>
  <x:si>
    <x:t xml:space="preserve">蓝黑节奏</x:t>
  </x:si>
  <x:si>
    <x:t xml:space="preserve">modern|dimir-tempo|none</x:t>
  </x:si>
  <x:si>
    <x:t xml:space="preserve">Dimir Red Splash</x:t>
  </x:si>
  <x:si>
    <x:t xml:space="preserve">Dimir Red Splash Tempo</x:t>
  </x:si>
  <x:si>
    <x:t xml:space="preserve">蓝黑红 Splash 节奏</x:t>
  </x:si>
  <x:si>
    <x:t xml:space="preserve">蓝黑节奏混红</x:t>
  </x:si>
  <x:si>
    <x:t xml:space="preserve">modern|dimir-tempo|grixis</x:t>
  </x:si>
  <x:si>
    <x:t xml:space="preserve">esper</x:t>
  </x:si>
  <x:si>
    <x:t xml:space="preserve">Dimir White Splash</x:t>
  </x:si>
  <x:si>
    <x:t xml:space="preserve">Dimir White Splash Tempo</x:t>
  </x:si>
  <x:si>
    <x:t xml:space="preserve">蓝黑白 Splash 节奏</x:t>
  </x:si>
  <x:si>
    <x:t xml:space="preserve">蓝黑节奏混白</x:t>
  </x:si>
  <x:si>
    <x:t xml:space="preserve">modern|dimir-tempo|esper</x:t>
  </x:si>
  <x:si>
    <x:t xml:space="preserve">modern|dimir-tempo|dimir</x:t>
  </x:si>
  <x:si>
    <x:t xml:space="preserve">esper-ketramose</x:t>
  </x:si>
  <x:si>
    <x:t xml:space="preserve">艾斯波 Ketramose</x:t>
  </x:si>
  <x:si>
    <x:t xml:space="preserve">艾斯波还拜神</x:t>
  </x:si>
  <x:si>
    <x:t xml:space="preserve">modern|esper-ketramose|none</x:t>
  </x:si>
  <x:si>
    <x:t xml:space="preserve">esper-blink</x:t>
  </x:si>
  <x:si>
    <x:t xml:space="preserve">艾斯波闪烁</x:t>
  </x:si>
  <x:si>
    <x:t xml:space="preserve">艾斯波云移</x:t>
  </x:si>
  <x:si>
    <x:t xml:space="preserve">modern|esper-blink|none</x:t>
  </x:si>
  <x:si>
    <x:t xml:space="preserve">azorius-blink</x:t>
  </x:si>
  <x:si>
    <x:t xml:space="preserve">Azorius Blink</x:t>
  </x:si>
  <x:si>
    <x:t xml:space="preserve">蓝白闪烁</x:t>
  </x:si>
  <x:si>
    <x:t xml:space="preserve">蓝白云移</x:t>
  </x:si>
  <x:si>
    <x:t xml:space="preserve">modern|azorius-blink|none</x:t>
  </x:si>
  <x:si>
    <x:t xml:space="preserve">jeskai-stoneforge</x:t>
  </x:si>
  <x:si>
    <x:t xml:space="preserve">Jeskai Stoneforge</x:t>
  </x:si>
  <x:si>
    <x:t xml:space="preserve">洁斯凯锻石</x:t>
  </x:si>
  <x:si>
    <x:t xml:space="preserve">洁斯凯曾哥剑</x:t>
  </x:si>
  <x:si>
    <x:t xml:space="preserve">modern|jeskai-stoneforge|none</x:t>
  </x:si>
  <x:si>
    <x:t xml:space="preserve">jeskai-blink</x:t>
  </x:si>
  <x:si>
    <x:t xml:space="preserve">Jeskai Blink</x:t>
  </x:si>
  <x:si>
    <x:t xml:space="preserve">洁斯凯闪烁</x:t>
  </x:si>
  <x:si>
    <x:t xml:space="preserve">洁斯凯云移</x:t>
  </x:si>
  <x:si>
    <x:t xml:space="preserve">modern|jeskai-blink|none</x:t>
  </x:si>
  <x:si>
    <x:t xml:space="preserve">mardu-blink</x:t>
  </x:si>
  <x:si>
    <x:t xml:space="preserve">Mardu Blink</x:t>
  </x:si>
  <x:si>
    <x:t xml:space="preserve">玛尔都闪烁</x:t>
  </x:si>
  <x:si>
    <x:t xml:space="preserve">玛尔都云移</x:t>
  </x:si>
  <x:si>
    <x:t xml:space="preserve">modern|mardu-blink|none</x:t>
  </x:si>
  <x:si>
    <x:t xml:space="preserve">orzhov-blink</x:t>
  </x:si>
  <x:si>
    <x:t xml:space="preserve">Orzhov Blink</x:t>
  </x:si>
  <x:si>
    <x:t xml:space="preserve">黑白闪烁</x:t>
  </x:si>
  <x:si>
    <x:t xml:space="preserve">黑白云移</x:t>
  </x:si>
  <x:si>
    <x:t xml:space="preserve">modern|orzhov-blink|none</x:t>
  </x:si>
  <x:si>
    <x:t xml:space="preserve">eldrazi-ramp-chant</x:t>
  </x:si>
  <x:si>
    <x:t xml:space="preserve">Eldrazi 加速 Chant</x:t>
  </x:si>
  <x:si>
    <x:t xml:space="preserve">奥札奇吟颂</x:t>
  </x:si>
  <x:si>
    <x:t xml:space="preserve">modern|eldrazi-ramp-chant|none</x:t>
  </x:si>
  <x:si>
    <x:t xml:space="preserve">rakdos-through-the-breach</x:t>
  </x:si>
  <x:si>
    <x:t xml:space="preserve">Rakdos Through the Breach</x:t>
  </x:si>
  <x:si>
    <x:t xml:space="preserve">红黑裂隙突破</x:t>
  </x:si>
  <x:si>
    <x:t xml:space="preserve">红黑裂罅</x:t>
  </x:si>
  <x:si>
    <x:t xml:space="preserve">modern|rakdos-through-the-breach|none</x:t>
  </x:si>
  <x:si>
    <x:t xml:space="preserve">izzet-through-the-breach</x:t>
  </x:si>
  <x:si>
    <x:t xml:space="preserve">Izzet Through the Breach</x:t>
  </x:si>
  <x:si>
    <x:t xml:space="preserve">蓝红裂隙突破</x:t>
  </x:si>
  <x:si>
    <x:t xml:space="preserve">红蓝裂罅</x:t>
  </x:si>
  <x:si>
    <x:t xml:space="preserve">modern|izzet-through-the-breach|none</x:t>
  </x:si>
  <x:si>
    <x:t xml:space="preserve">omnath-midrange</x:t>
  </x:si>
  <x:si>
    <x:t xml:space="preserve">Omnath Midrange</x:t>
  </x:si>
  <x:si>
    <x:t xml:space="preserve">Omnath 中速</x:t>
  </x:si>
  <x:si>
    <x:t xml:space="preserve">欧那斯中速</x:t>
  </x:si>
  <x:si>
    <x:t xml:space="preserve">modern|omnath-midrange|none</x:t>
  </x:si>
  <x:si>
    <x:t xml:space="preserve">hollowvine</x:t>
  </x:si>
  <x:si>
    <x:t xml:space="preserve">藤蔓石椁</x:t>
  </x:si>
  <x:si>
    <x:t xml:space="preserve">modern|hollowvine|none</x:t>
  </x:si>
  <x:si>
    <x:t xml:space="preserve">rakdos-hollow-one</x:t>
  </x:si>
  <x:si>
    <x:t xml:space="preserve">Rakdos Hollow One</x:t>
  </x:si>
  <x:si>
    <x:t xml:space="preserve">红黑石椁</x:t>
  </x:si>
  <x:si>
    <x:t xml:space="preserve">modern|rakdos-hollow-one|none</x:t>
  </x:si>
  <x:si>
    <x:t xml:space="preserve">Mardu Hollow One</x:t>
  </x:si>
  <x:si>
    <x:t xml:space="preserve">玛尔都空壳一号</x:t>
  </x:si>
  <x:si>
    <x:t xml:space="preserve">玛尔都石椁</x:t>
  </x:si>
  <x:si>
    <x:t xml:space="preserve">modern|rakdos-hollow-one|mardu</x:t>
  </x:si>
  <x:si>
    <x:t xml:space="preserve">红黑空壳一号</x:t>
  </x:si>
  <x:si>
    <x:t xml:space="preserve">modern|rakdos-hollow-one|rakdos</x:t>
  </x:si>
  <x:si>
    <x:t xml:space="preserve">rakdos-steel-cutter</x:t>
  </x:si>
  <x:si>
    <x:t xml:space="preserve">Rakdos Steel-Cutter</x:t>
  </x:si>
  <x:si>
    <x:t xml:space="preserve">红黑 Steel-Cutter</x:t>
  </x:si>
  <x:si>
    <x:t xml:space="preserve">红黑介刀</x:t>
  </x:si>
  <x:si>
    <x:t xml:space="preserve">modern|rakdos-steel-cutter|none</x:t>
  </x:si>
  <x:si>
    <x:t xml:space="preserve">mono-red-artifact</x:t>
  </x:si>
  <x:si>
    <x:t xml:space="preserve">Mono-Red Artifact</x:t>
  </x:si>
  <x:si>
    <x:t xml:space="preserve">纯红神器</x:t>
  </x:si>
  <x:si>
    <x:t xml:space="preserve">modern|mono-red-artifact|none</x:t>
  </x:si>
  <x:si>
    <x:t xml:space="preserve">mono-blue-tron</x:t>
  </x:si>
  <x:si>
    <x:t xml:space="preserve">Mono-Blue Tron</x:t>
  </x:si>
  <x:si>
    <x:t xml:space="preserve">纯蓝塔脉炉</x:t>
  </x:si>
  <x:si>
    <x:t xml:space="preserve">modern|mono-blue-tron|none</x:t>
  </x:si>
  <x:si>
    <x:t xml:space="preserve">mono-black-saga</x:t>
  </x:si>
  <x:si>
    <x:t xml:space="preserve">Mono-Black Saga</x:t>
  </x:si>
  <x:si>
    <x:t xml:space="preserve">纯黑 Saga</x:t>
  </x:si>
  <x:si>
    <x:t xml:space="preserve">modern|mono-black-saga|none</x:t>
  </x:si>
</x:sst>
</file>

<file path=xl/styles.xml><?xml version="1.0" encoding="utf-8"?>
<x:styleSheet xmlns:x="http://schemas.openxmlformats.org/spreadsheetml/2006/main">
  <x:numFmts count="4">
    <x:numFmt numFmtId="43" formatCode="_ * #,##0.00_ ;_ * \-#,##0.00_ ;_ * &quot;-&quot;??_ ;_ @_ "/>
    <x:numFmt numFmtId="176" formatCode="_ * #,##0_ ;_ * \-#,##0_ ;_ * &quot;-&quot;??_ ;_ @_ "/>
    <x:numFmt numFmtId="177" formatCode="_-&quot;\&quot;* #,##0_-\ ;\-&quot;\&quot;* #,##0_-\ ;_-&quot;\&quot;* &quot;-&quot;??_-\ ;_-@_-"/>
    <x:numFmt numFmtId="178" formatCode="_-&quot;\&quot;* #,##0.00_-\ ;\-&quot;\&quot;* #,##0.00_-\ ;_-&quot;\&quot;* &quot;-&quot;??_-\ ;_-@_-"/>
  </x:numFmts>
  <x:fonts count="29">
    <x:font>
      <x:sz val="11"/>
      <x:name val="Carlito"/>
    </x:font>
    <x:font>
      <x:b/>
      <x:sz val="15"/>
      <x:color rgb="FFFFFFFF"/>
      <x:name val="Carlito"/>
    </x:font>
    <x:font>
      <x:i/>
      <x:sz val="10"/>
      <x:color rgb="FF1F2937"/>
      <x:name val="Carlito"/>
    </x:font>
    <x:font>
      <x:b/>
      <x:sz val="10"/>
      <x:color rgb="FFFFFFFF"/>
      <x:name val="Carlito"/>
    </x:font>
    <x:font>
      <x:sz val="10"/>
      <x:color rgb="FF1F2937"/>
      <x:name val="Carlito"/>
    </x:font>
    <x:font>
      <x:sz val="10"/>
      <x:color rgb="FF1F2937"/>
      <x:name val="宋体"/>
    </x:font>
    <x:font>
      <x:b/>
      <x:sz val="10"/>
      <x:color rgb="FF1F2937"/>
      <x:name val="Carlito"/>
    </x:font>
    <x:font>
      <x:b/>
      <x:sz val="13"/>
      <x:color rgb="FFFFFFFF"/>
      <x:name val="Carlito"/>
    </x:font>
    <x:font>
      <x:i/>
      <x:sz val="11"/>
      <x:color rgb="FF1F2937"/>
      <x:name val="Carlito"/>
    </x:font>
    <x:font>
      <x:b/>
      <x:sz val="11"/>
      <x:color rgb="FFFFFFF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s>
  <x:fills count="45">
    <x:fill>
      <x:patternFill patternType="none"/>
    </x:fill>
    <x:fill>
      <x:patternFill patternType="gray125"/>
    </x:fill>
    <x:fill>
      <x:patternFill patternType="solid">
        <x:fgColor rgb="FF17324D"/>
      </x:patternFill>
    </x:fill>
    <x:fill>
      <x:patternFill patternType="solid">
        <x:fgColor rgb="FFFCE4D6"/>
      </x:patternFill>
    </x:fill>
    <x:fill>
      <x:patternFill patternType="solid">
        <x:fgColor rgb="FF244A66"/>
      </x:patternFill>
    </x:fill>
    <x:fill>
      <x:patternFill patternType="solid">
        <x:fgColor rgb="FFDDEBF7"/>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FFFFFF"/>
      </x:patternFill>
    </x:fill>
    <x:fill>
      <x:patternFill patternType="solid">
        <x:fgColor rgb="FF17365D"/>
      </x:patternFill>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24D"/>
      </x:patternFill>
    </x:fill>
    <x:fill>
      <x:patternFill patternType="solid">
        <x:fgColor rgb="FFFCE4D6"/>
      </x:patternFill>
    </x:fill>
  </x:fills>
  <x:borders count="11">
    <x:border/>
    <x:border>
      <x:left style="thin">
        <x:color rgb="FFB7C9D6"/>
      </x:left>
      <x:right style="thin">
        <x:color rgb="FFB7C9D6"/>
      </x:right>
      <x:top style="thin">
        <x:color rgb="FFB7C9D6"/>
      </x:top>
      <x:bottom style="thin">
        <x:color rgb="FFB7C9D6"/>
      </x:bottom>
    </x:border>
    <x:border>
      <x:left style="medium">
        <x:color rgb="FF7F8C8D"/>
      </x:left>
      <x:right style="medium">
        <x:color rgb="FF7F8C8D"/>
      </x:right>
      <x:top style="medium">
        <x:color rgb="FF7F8C8D"/>
      </x:top>
      <x:bottom style="medium">
        <x:color rgb="FF7F8C8D"/>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176" fontId="10" fillId="0" borderId="0" applyFont="0" applyFill="0" applyBorder="0" applyAlignment="0" applyProtection="0">
      <x:alignment vertical="center"/>
    </x:xf>
    <x:xf numFmtId="177" fontId="10" fillId="0" borderId="0" applyFont="0" applyFill="0" applyBorder="0" applyAlignment="0" applyProtection="0">
      <x:alignment vertical="center"/>
    </x:xf>
    <x:xf numFmtId="9" fontId="10" fillId="0" borderId="0" applyFont="0" applyFill="0" applyBorder="0" applyAlignment="0" applyProtection="0">
      <x:alignment vertical="center"/>
    </x:xf>
    <x:xf numFmtId="43" fontId="10" fillId="0" borderId="0" applyFont="0" applyFill="0" applyBorder="0" applyAlignment="0" applyProtection="0">
      <x:alignment vertical="center"/>
    </x:xf>
    <x:xf numFmtId="178" fontId="1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0" fillId="12" borderId="3"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4" applyNumberFormat="0" applyFill="0" applyAlignment="0" applyProtection="0">
      <x:alignment vertical="center"/>
    </x:xf>
    <x:xf numFmtId="0" fontId="17" fillId="0" borderId="4" applyNumberFormat="0" applyFill="0" applyAlignment="0" applyProtection="0">
      <x:alignment vertical="center"/>
    </x:xf>
    <x:xf numFmtId="0" fontId="18" fillId="0" borderId="5" applyNumberFormat="0" applyFill="0" applyAlignment="0" applyProtection="0">
      <x:alignment vertical="center"/>
    </x:xf>
    <x:xf numFmtId="0" fontId="18" fillId="0" borderId="0" applyNumberFormat="0" applyFill="0" applyBorder="0" applyAlignment="0" applyProtection="0">
      <x:alignment vertical="center"/>
    </x:xf>
    <x:xf numFmtId="0" fontId="19" fillId="13" borderId="6" applyNumberFormat="0" applyAlignment="0" applyProtection="0">
      <x:alignment vertical="center"/>
    </x:xf>
    <x:xf numFmtId="0" fontId="20" fillId="14" borderId="7" applyNumberFormat="0" applyAlignment="0" applyProtection="0">
      <x:alignment vertical="center"/>
    </x:xf>
    <x:xf numFmtId="0" fontId="21" fillId="14" borderId="6" applyNumberFormat="0" applyAlignment="0" applyProtection="0">
      <x:alignment vertical="center"/>
    </x:xf>
    <x:xf numFmtId="0" fontId="22" fillId="15" borderId="8" applyNumberFormat="0" applyAlignment="0" applyProtection="0">
      <x:alignment vertical="center"/>
    </x:xf>
    <x:xf numFmtId="0" fontId="23" fillId="0" borderId="9" applyNumberFormat="0" applyFill="0" applyAlignment="0" applyProtection="0">
      <x:alignment vertical="center"/>
    </x:xf>
    <x:xf numFmtId="0" fontId="24" fillId="0" borderId="10" applyNumberFormat="0" applyFill="0" applyAlignment="0" applyProtection="0">
      <x:alignment vertical="center"/>
    </x:xf>
    <x:xf numFmtId="0" fontId="25"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28" fillId="19" borderId="0" applyNumberFormat="0" applyBorder="0" applyAlignment="0" applyProtection="0">
      <x:alignment vertical="center"/>
    </x:xf>
    <x:xf numFmtId="0" fontId="10" fillId="20" borderId="0" applyNumberFormat="0" applyBorder="0" applyAlignment="0" applyProtection="0">
      <x:alignment vertical="center"/>
    </x:xf>
    <x:xf numFmtId="0" fontId="10" fillId="21" borderId="0" applyNumberFormat="0" applyBorder="0" applyAlignment="0" applyProtection="0">
      <x:alignment vertical="center"/>
    </x:xf>
    <x:xf numFmtId="0" fontId="28" fillId="22" borderId="0" applyNumberFormat="0" applyBorder="0" applyAlignment="0" applyProtection="0">
      <x:alignment vertical="center"/>
    </x:xf>
    <x:xf numFmtId="0" fontId="28" fillId="23" borderId="0" applyNumberFormat="0" applyBorder="0" applyAlignment="0" applyProtection="0">
      <x:alignment vertical="center"/>
    </x:xf>
    <x:xf numFmtId="0" fontId="10" fillId="24" borderId="0" applyNumberFormat="0" applyBorder="0" applyAlignment="0" applyProtection="0">
      <x:alignment vertical="center"/>
    </x:xf>
    <x:xf numFmtId="0" fontId="10" fillId="25" borderId="0" applyNumberFormat="0" applyBorder="0" applyAlignment="0" applyProtection="0">
      <x:alignment vertical="center"/>
    </x:xf>
    <x:xf numFmtId="0" fontId="28" fillId="26" borderId="0" applyNumberFormat="0" applyBorder="0" applyAlignment="0" applyProtection="0">
      <x:alignment vertical="center"/>
    </x:xf>
    <x:xf numFmtId="0" fontId="28" fillId="27" borderId="0" applyNumberFormat="0" applyBorder="0" applyAlignment="0" applyProtection="0">
      <x:alignment vertical="center"/>
    </x:xf>
    <x:xf numFmtId="0" fontId="10" fillId="28" borderId="0" applyNumberFormat="0" applyBorder="0" applyAlignment="0" applyProtection="0">
      <x:alignment vertical="center"/>
    </x:xf>
    <x:xf numFmtId="0" fontId="10" fillId="29" borderId="0" applyNumberFormat="0" applyBorder="0" applyAlignment="0" applyProtection="0">
      <x:alignment vertical="center"/>
    </x:xf>
    <x:xf numFmtId="0" fontId="28" fillId="30" borderId="0" applyNumberFormat="0" applyBorder="0" applyAlignment="0" applyProtection="0">
      <x:alignment vertical="center"/>
    </x:xf>
    <x:xf numFmtId="0" fontId="28" fillId="31" borderId="0" applyNumberFormat="0" applyBorder="0" applyAlignment="0" applyProtection="0">
      <x:alignment vertical="center"/>
    </x:xf>
    <x:xf numFmtId="0" fontId="10" fillId="32" borderId="0" applyNumberFormat="0" applyBorder="0" applyAlignment="0" applyProtection="0">
      <x:alignment vertical="center"/>
    </x:xf>
    <x:xf numFmtId="0" fontId="10" fillId="33" borderId="0" applyNumberFormat="0" applyBorder="0" applyAlignment="0" applyProtection="0">
      <x:alignment vertical="center"/>
    </x:xf>
    <x:xf numFmtId="0" fontId="28" fillId="34" borderId="0" applyNumberFormat="0" applyBorder="0" applyAlignment="0" applyProtection="0">
      <x:alignment vertical="center"/>
    </x:xf>
    <x:xf numFmtId="0" fontId="28" fillId="35" borderId="0" applyNumberFormat="0" applyBorder="0" applyAlignment="0" applyProtection="0">
      <x:alignment vertical="center"/>
    </x:xf>
    <x:xf numFmtId="0" fontId="10" fillId="36" borderId="0" applyNumberFormat="0" applyBorder="0" applyAlignment="0" applyProtection="0">
      <x:alignment vertical="center"/>
    </x:xf>
    <x:xf numFmtId="0" fontId="10" fillId="37" borderId="0" applyNumberFormat="0" applyBorder="0" applyAlignment="0" applyProtection="0">
      <x:alignment vertical="center"/>
    </x:xf>
    <x:xf numFmtId="0" fontId="28" fillId="38" borderId="0" applyNumberFormat="0" applyBorder="0" applyAlignment="0" applyProtection="0">
      <x:alignment vertical="center"/>
    </x:xf>
    <x:xf numFmtId="0" fontId="28" fillId="39" borderId="0" applyNumberFormat="0" applyBorder="0" applyAlignment="0" applyProtection="0">
      <x:alignment vertical="center"/>
    </x:xf>
    <x:xf numFmtId="0" fontId="10" fillId="40" borderId="0" applyNumberFormat="0" applyBorder="0" applyAlignment="0" applyProtection="0">
      <x:alignment vertical="center"/>
    </x:xf>
    <x:xf numFmtId="0" fontId="10" fillId="41" borderId="0" applyNumberFormat="0" applyBorder="0" applyAlignment="0" applyProtection="0">
      <x:alignment vertical="center"/>
    </x:xf>
    <x:xf numFmtId="0" fontId="28" fillId="42" borderId="0" applyNumberFormat="0" applyBorder="0" applyAlignment="0" applyProtection="0">
      <x:alignment vertical="center"/>
    </x:xf>
    <x:xf numFmtId="0" fontId="0" fillId="0" borderId="0"/>
  </x:cellStyleXfs>
  <x:cellXfs count="29">
    <x:xf numFmtId="0" fontId="0" fillId="0" borderId="0" xfId="49"/>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1" xfId="0" applyNumberFormat="1" applyFont="1" applyFill="1" applyBorder="1" applyAlignment="1">
      <x:alignment horizontal="center" vertical="center" wrapText="1"/>
    </x:xf>
    <x:xf numFmtId="0" fontId="4" fillId="5"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1" fillId="10" borderId="0" xfId="49" applyNumberFormat="1" applyFont="1" applyFill="1" applyBorder="1" applyAlignment="1">
      <x:alignment vertical="center" wrapText="1"/>
    </x:xf>
    <x:xf numFmtId="0" fontId="2" fillId="3" borderId="0" xfId="49" applyNumberFormat="1" applyFont="1" applyFill="1" applyBorder="1" applyAlignment="1">
      <x:alignment vertical="center" wrapText="1"/>
    </x:xf>
    <x:xf numFmtId="0" fontId="3" fillId="11" borderId="1" xfId="49" applyNumberFormat="1" applyFont="1" applyFill="1" applyBorder="1" applyAlignment="1">
      <x:alignment horizontal="center" vertical="center" wrapText="1"/>
    </x:xf>
    <x:xf numFmtId="0" fontId="4" fillId="7" borderId="1" xfId="49" applyNumberFormat="1" applyFont="1" applyFill="1" applyBorder="1" applyAlignment="1">
      <x:alignment vertical="top" wrapText="1"/>
    </x:xf>
    <x:xf numFmtId="0" fontId="4" fillId="5" borderId="1" xfId="49" applyNumberFormat="1" applyFont="1" applyFill="1" applyBorder="1" applyAlignment="1">
      <x:alignment vertical="top" wrapText="1"/>
    </x:xf>
    <x:xf numFmtId="0" fontId="4" fillId="6" borderId="1" xfId="49" applyNumberFormat="1" applyFont="1" applyFill="1" applyBorder="1" applyAlignment="1">
      <x:alignment vertical="top" wrapText="1"/>
    </x:xf>
    <x:xf numFmtId="0" fontId="7" fillId="10" borderId="0" xfId="49" applyNumberFormat="1" applyFont="1" applyFill="1" applyBorder="1"/>
    <x:xf numFmtId="0" fontId="8" fillId="3" borderId="0" xfId="49" applyNumberFormat="1" applyFont="1" applyFill="1" applyBorder="1" applyAlignment="1">
      <x:alignment wrapText="1"/>
    </x:xf>
    <x:xf numFmtId="0" fontId="9" fillId="2" borderId="0" xfId="0" applyNumberFormat="1" applyFont="1" applyFill="1" applyBorder="1" applyAlignment="1"/>
    <x:xf numFmtId="0" fontId="1" fillId="43" borderId="0" xfId="0" applyNumberFormat="1" applyFont="1" applyFill="1" applyBorder="1" applyAlignment="1">
      <x:alignment vertical="center" wrapText="1"/>
    </x:xf>
    <x:xf numFmtId="0" fontId="1" fillId="43" borderId="0" xfId="0" applyNumberFormat="1" applyFont="1" applyFill="1" applyBorder="1" applyAlignment="1">
      <x:alignment vertical="center"/>
    </x:xf>
    <x:xf numFmtId="0" fontId="2" fillId="44" borderId="0"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80425cdf985479b" /><Relationship Type="http://schemas.openxmlformats.org/officeDocument/2006/relationships/theme" Target="/xl/theme/theme1.xml" Id="R0633afcde3dd4ed9" /><Relationship Type="http://schemas.openxmlformats.org/officeDocument/2006/relationships/sharedStrings" Target="/xl/sharedStrings.xml" Id="R3fc6c72a60bb4abe" /><Relationship Type="http://schemas.openxmlformats.org/officeDocument/2006/relationships/worksheet" Target="/xl/worksheets/sheet1.xml" Id="Rd139cd90bab54411" /><Relationship Type="http://schemas.openxmlformats.org/officeDocument/2006/relationships/worksheet" Target="/xl/worksheets/sheet2.xml" Id="Rf3ebf4a5bad54504" /><Relationship Type="http://schemas.openxmlformats.org/officeDocument/2006/relationships/worksheet" Target="/xl/worksheets/sheet3.xml" Id="R64957e32e1cf4f78" /><Relationship Type="http://schemas.openxmlformats.org/officeDocument/2006/relationships/worksheet" Target="/xl/worksheets/sheet4.xml" Id="Rc29a65efa91a4c78" /><Relationship Type="http://schemas.openxmlformats.org/officeDocument/2006/relationships/worksheet" Target="/xl/worksheets/sheet5.xml" Id="R84df7e5cb7874591" /><Relationship Type="http://schemas.openxmlformats.org/officeDocument/2006/relationships/worksheet" Target="/xl/worksheets/sheet6.xml" Id="R7826ceccb15945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2" width="11.25" customWidth="1"/>
    <x:col min="3" max="3" width="35.63333511352539" customWidth="1"/>
    <x:col min="4" max="5" width="15" customWidth="1"/>
    <x:col min="6" max="6" width="16.25" customWidth="1"/>
    <x:col min="7" max="7" width="18.133333206176758" customWidth="1"/>
    <x:col min="8" max="8" width="15" customWidth="1"/>
    <x:col min="9" max="9" width="32.5" customWidth="1"/>
  </x:cols>
  <x:sheetData>
    <x:row r="1" ht="25.5" customHeight="1">
      <x:c r="A1" s="26" t="str">
        <x:v>P12-15C · Landing Review Control · completed content and bilingual names</x:v>
      </x:c>
      <x:c r="B1" s="27"/>
      <x:c r="C1" s="27"/>
      <x:c r="D1" s="27"/>
      <x:c r="E1" s="27"/>
      <x:c r="F1" s="27"/>
      <x:c r="G1" s="27"/>
      <x:c r="H1" s="27"/>
      <x:c r="I1" s="27"/>
    </x:row>
    <x:row r="2" ht="36" customHeight="1">
      <x:c r="A2" s="28" t="str">
        <x:v>用户已确认全部内容：W27 为不保留 Feature 的结果；Standard / Modern W33 顶端文案、16 个 KEEP Feature、323 个双语套牌名与对应英文稿均已完成。此文件仍只用于审核记录，不会更新页面。</x:v>
      </x:c>
      <x:c r="B2" s="28"/>
      <x:c r="C2" s="28"/>
      <x:c r="D2" s="28"/>
      <x:c r="E2" s="28"/>
      <x:c r="F2" s="28"/>
      <x:c r="G2" s="28"/>
      <x:c r="H2" s="28"/>
      <x:c r="I2" s="28"/>
    </x:row>
    <x:row r="4" ht="24" customHeight="1">
      <x:c r="A4" s="3" t="s">
        <x:v>0</x:v>
      </x:c>
      <x:c r="B4" s="3" t="s">
        <x:v>1</x:v>
      </x:c>
      <x:c r="C4" s="3" t="s">
        <x:v>2</x:v>
      </x:c>
      <x:c r="D4" s="3" t="s">
        <x:v>3</x:v>
      </x:c>
      <x:c r="E4" s="3" t="s">
        <x:v>4</x:v>
      </x:c>
      <x:c r="F4" s="3" t="s">
        <x:v>5</x:v>
      </x:c>
      <x:c r="G4" s="3" t="s">
        <x:v>6</x:v>
      </x:c>
      <x:c r="H4" s="3" t="s">
        <x:v>7</x:v>
      </x:c>
      <x:c r="I4" s="3" t="s">
        <x:v>8</x:v>
      </x:c>
    </x:row>
    <x:row r="5" ht="49.5" customHeight="1">
      <x:c r="A5" s="4" t="s">
        <x:v>9</x:v>
      </x:c>
      <x:c r="B5" s="4" t="s">
        <x:v>10</x:v>
      </x:c>
      <x:c r="C5" s="4" t="s">
        <x:v>11</x:v>
      </x:c>
      <x:c r="D5" s="6" t="s">
        <x:v>12</x:v>
      </x:c>
      <x:c r="E5" s="6" t="str">
        <x:v>APPROVED</x:v>
      </x:c>
      <x:c r="F5" s="6" t="str">
        <x:v>NOT APPLICABLE</x:v>
      </x:c>
      <x:c r="G5" s="6" t="str">
        <x:v>APPROVED</x:v>
      </x:c>
      <x:c r="H5" s="6" t="str">
        <x:v>NOT APPLICABLE</x:v>
      </x:c>
      <x:c r="I5" s="6"/>
    </x:row>
    <x:row r="6" ht="49.5" customHeight="1">
      <x:c r="A6" s="4" t="s">
        <x:v>9</x:v>
      </x:c>
      <x:c r="B6" s="4" t="s">
        <x:v>13</x:v>
      </x:c>
      <x:c r="C6" s="4" t="s">
        <x:v>14</x:v>
      </x:c>
      <x:c r="D6" s="6" t="str">
        <x:v>APPROVED</x:v>
      </x:c>
      <x:c r="E6" s="6" t="str">
        <x:v>APPROVED</x:v>
      </x:c>
      <x:c r="F6" s="6" t="str">
        <x:v>APPROVED</x:v>
      </x:c>
      <x:c r="G6" s="6" t="str">
        <x:v>APPROVED</x:v>
      </x:c>
      <x:c r="H6" s="6" t="str">
        <x:v>APPROVED</x:v>
      </x:c>
      <x:c r="I6" s="6"/>
    </x:row>
    <x:row r="7" ht="49.5" customHeight="1">
      <x:c r="A7" s="4" t="s">
        <x:v>15</x:v>
      </x:c>
      <x:c r="B7" s="4" t="s">
        <x:v>13</x:v>
      </x:c>
      <x:c r="C7" s="4" t="s">
        <x:v>16</x:v>
      </x:c>
      <x:c r="D7" s="6" t="str">
        <x:v>APPROVED</x:v>
      </x:c>
      <x:c r="E7" s="6" t="str">
        <x:v>APPROVED</x:v>
      </x:c>
      <x:c r="F7" s="6" t="str">
        <x:v>APPROVED</x:v>
      </x:c>
      <x:c r="G7" s="6" t="str">
        <x:v>APPROVED</x:v>
      </x:c>
      <x:c r="H7" s="6" t="str">
        <x:v>APPROVED</x:v>
      </x:c>
      <x:c r="I7" s="6"/>
    </x:row>
    <x:row r="10">
      <x:c r="A10" s="25" t="s">
        <x:v>17</x:v>
      </x:c>
      <x:c r="B10" s="25"/>
      <x:c r="C10" s="25"/>
      <x:c r="D10" s="25"/>
      <x:c r="E10" s="25"/>
      <x:c r="F10" s="25"/>
      <x:c r="G10" s="25"/>
      <x:c r="H10" s="25"/>
      <x:c r="I10" s="25"/>
    </x:row>
    <x:row r="11" ht="24" customHeight="1">
      <x:c r="A11" s="3" t="s">
        <x:v>18</x:v>
      </x:c>
      <x:c r="B11" s="3" t="s">
        <x:v>19</x:v>
      </x:c>
      <x:c r="C11" s="3" t="s">
        <x:v>20</x:v>
      </x:c>
    </x:row>
    <x:row r="12" ht="31.5" customHeight="1">
      <x:c r="A12" s="7" t="s">
        <x:v>21</x:v>
      </x:c>
      <x:c r="B12" s="7" t="n">
        <x:f>COUNTIF('Landing Copy'!A5:A204,"KEEP")</x:f>
        <x:v>11</x:v>
      </x:c>
      <x:c r="C12" s="7" t="s">
        <x:v>22</x:v>
      </x:c>
    </x:row>
    <x:row r="13" ht="31.5" customHeight="1">
      <x:c r="A13" s="7" t="s">
        <x:v>23</x:v>
      </x:c>
      <x:c r="B13" s="7" t="n">
        <x:f>COUNTIF('Featured Decks'!A5:A204,"KEEP")</x:f>
        <x:v>16</x:v>
      </x:c>
      <x:c r="C13" s="7" t="s">
        <x:v>24</x:v>
      </x:c>
    </x:row>
    <x:row r="14" ht="31.5" customHeight="1">
      <x:c r="A14" s="7" t="s">
        <x:v>25</x:v>
      </x:c>
      <x:c r="B14" s="7" t="n">
        <x:f>COUNTIF('Featured Decks'!W5:W204,"NEEDS INPUT")</x:f>
        <x:v>0</x:v>
      </x:c>
      <x:c r="C14" s="7" t="s">
        <x:v>26</x:v>
      </x:c>
    </x:row>
    <x:row r="15" ht="31.5" customHeight="1">
      <x:c r="A15" s="7" t="s">
        <x:v>27</x:v>
      </x:c>
      <x:c r="B15" s="7" t="n">
        <x:f>COUNTA('All Top 8'!C5:C204)</x:f>
        <x:v>168</x:v>
      </x:c>
      <x:c r="C15" s="7" t="s">
        <x:v>28</x:v>
      </x:c>
    </x:row>
    <x:row r="16" ht="31.5" customHeight="1">
      <x:c r="A16" s="7" t="s">
        <x:v>29</x:v>
      </x:c>
      <x:c r="B16" s="7" t="n">
        <x:f>COUNTIF('Bilingual Names'!I5:I327,"&lt;&gt;APPROVED")</x:f>
        <x:v>0</x:v>
      </x:c>
      <x:c r="C16" s="7" t="s">
        <x:v>30</x:v>
      </x:c>
    </x:row>
  </x:sheetData>
  <x:mergeCells>
    <x:mergeCell ref="A10:H10"/>
    <x:mergeCell ref="A10:I10"/>
    <x:mergeCell ref="A1:I1"/>
    <x:mergeCell ref="A2:I2"/>
  </x:mergeCells>
  <x:dataValidations count="1">
    <x:dataValidation type="list" sqref="D5:H7">
      <x:formula1>"PENDING,APPROVED,EMPTY APPROVED,NOT APPLICABLE"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3.133333206176758" customWidth="1"/>
    <x:col min="2" max="2" width="11.25" customWidth="1"/>
    <x:col min="3" max="3" width="10.633333206176758" customWidth="1"/>
    <x:col min="4" max="6" width="57.5" customWidth="1"/>
    <x:col min="7" max="7" width="27.5" customWidth="1"/>
    <x:col min="8" max="8" width="11.883333206176758" customWidth="1"/>
    <x:col min="9" max="9" width="6.883333206176758" customWidth="1"/>
    <x:col min="10" max="10" width="18.75" customWidth="1"/>
    <x:col min="11" max="11" width="16.25" customWidth="1"/>
    <x:col min="12" max="12" width="23.75" customWidth="1"/>
  </x:cols>
  <x:sheetData>
    <x:row r="1" ht="24" customHeight="1">
      <x:c r="A1" s="17" t="s">
        <x:v>31</x:v>
      </x:c>
    </x:row>
    <x:row r="2" ht="31.5" customHeight="1">
      <x:c r="A2" s="18" t="s">
        <x:v>32</x:v>
      </x:c>
    </x:row>
    <x:row r="4" ht="24" customHeight="1">
      <x:c r="A4" s="19" t="s">
        <x:v>33</x:v>
      </x:c>
      <x:c r="B4" s="19" t="s">
        <x:v>34</x:v>
      </x:c>
      <x:c r="C4" s="19" t="s">
        <x:v>0</x:v>
      </x:c>
      <x:c r="D4" s="19" t="s">
        <x:v>35</x:v>
      </x:c>
      <x:c r="E4" s="19" t="s">
        <x:v>36</x:v>
      </x:c>
      <x:c r="F4" s="19" t="s">
        <x:v>37</x:v>
      </x:c>
    </x:row>
    <x:row r="5" ht="81" customHeight="1">
      <x:c r="A5" s="20" t="s">
        <x:v>38</x:v>
      </x:c>
      <x:c r="B5" s="20">
        <x:v>1</x:v>
      </x:c>
      <x:c r="C5" s="20" t="s">
        <x:v>9</x:v>
      </x:c>
      <x:c r="D5" s="20" t="s">
        <x:v>39</x:v>
      </x:c>
      <x:c r="E5" s="22" t="s">
        <x:v>40</x:v>
      </x:c>
      <x:c r="F5" s="20" t="s">
        <x:v>40</x:v>
      </x:c>
    </x:row>
    <x:row r="6" ht="81" customHeight="1">
      <x:c r="A6" s="20" t="s">
        <x:v>38</x:v>
      </x:c>
      <x:c r="B6" s="20">
        <x:v>2</x:v>
      </x:c>
      <x:c r="C6" s="20" t="s">
        <x:v>9</x:v>
      </x:c>
      <x:c r="D6" s="20" t="s">
        <x:v>41</x:v>
      </x:c>
      <x:c r="E6" s="22" t="s">
        <x:v>42</x:v>
      </x:c>
      <x:c r="F6" s="20" t="s">
        <x:v>42</x:v>
      </x:c>
    </x:row>
    <x:row r="7" ht="81" customHeight="1">
      <x:c r="A7" s="20" t="s">
        <x:v>38</x:v>
      </x:c>
      <x:c r="B7" s="20">
        <x:v>3</x:v>
      </x:c>
      <x:c r="C7" s="20" t="s">
        <x:v>9</x:v>
      </x:c>
      <x:c r="D7" s="20" t="s">
        <x:v>43</x:v>
      </x:c>
      <x:c r="E7" s="22" t="s">
        <x:v>44</x:v>
      </x:c>
      <x:c r="F7" s="20" t="s">
        <x:v>44</x:v>
      </x:c>
    </x:row>
    <x:row r="8" ht="81" customHeight="1">
      <x:c r="A8" s="20" t="s">
        <x:v>38</x:v>
      </x:c>
      <x:c r="B8" s="20">
        <x:v>4</x:v>
      </x:c>
      <x:c r="C8" s="20" t="s">
        <x:v>9</x:v>
      </x:c>
      <x:c r="D8" s="20" t="s">
        <x:v>45</x:v>
      </x:c>
      <x:c r="E8" s="22" t="s">
        <x:v>46</x:v>
      </x:c>
      <x:c r="F8" s="20" t="s">
        <x:v>46</x:v>
      </x:c>
    </x:row>
    <x:row r="9" ht="81" customHeight="1">
      <x:c r="A9" s="20" t="s">
        <x:v>38</x:v>
      </x:c>
      <x:c r="B9" s="20">
        <x:v>5</x:v>
      </x:c>
      <x:c r="C9" s="20" t="s">
        <x:v>9</x:v>
      </x:c>
      <x:c r="D9" s="20" t="s">
        <x:v>47</x:v>
      </x:c>
      <x:c r="E9" s="22" t="s">
        <x:v>48</x:v>
      </x:c>
      <x:c r="F9" s="20" t="s">
        <x:v>48</x:v>
      </x:c>
    </x:row>
    <x:row r="10" ht="81" customHeight="1">
      <x:c r="A10" s="20" t="s">
        <x:v>38</x:v>
      </x:c>
      <x:c r="B10" s="20">
        <x:v>6</x:v>
      </x:c>
      <x:c r="C10" s="20" t="s">
        <x:v>9</x:v>
      </x:c>
      <x:c r="D10" s="20" t="s">
        <x:v>49</x:v>
      </x:c>
      <x:c r="E10" s="22" t="s">
        <x:v>50</x:v>
      </x:c>
      <x:c r="F10" s="20" t="s">
        <x:v>50</x:v>
      </x:c>
    </x:row>
    <x:row r="11" ht="81" customHeight="1">
      <x:c r="A11" s="20" t="s">
        <x:v>38</x:v>
      </x:c>
      <x:c r="B11" s="20">
        <x:v>7</x:v>
      </x:c>
      <x:c r="C11" s="20" t="s">
        <x:v>9</x:v>
      </x:c>
      <x:c r="D11" s="20" t="s">
        <x:v>51</x:v>
      </x:c>
      <x:c r="E11" s="22" t="s">
        <x:v>52</x:v>
      </x:c>
      <x:c r="F11" s="20" t="s">
        <x:v>52</x:v>
      </x:c>
    </x:row>
    <x:row r="12" ht="81" customHeight="1">
      <x:c r="A12" s="20" t="s">
        <x:v>38</x:v>
      </x:c>
      <x:c r="B12" s="20">
        <x:v>8</x:v>
      </x:c>
      <x:c r="C12" s="20" t="s">
        <x:v>9</x:v>
      </x:c>
      <x:c r="D12" s="20" t="s">
        <x:v>53</x:v>
      </x:c>
      <x:c r="E12" s="22" t="s">
        <x:v>54</x:v>
      </x:c>
      <x:c r="F12" s="20" t="s">
        <x:v>54</x:v>
      </x:c>
    </x:row>
    <x:row r="13" ht="81" customHeight="1">
      <x:c r="A13" s="20" t="s">
        <x:v>38</x:v>
      </x:c>
      <x:c r="B13" s="20">
        <x:v>9</x:v>
      </x:c>
      <x:c r="C13" s="20" t="s">
        <x:v>9</x:v>
      </x:c>
      <x:c r="D13" s="20" t="s">
        <x:v>55</x:v>
      </x:c>
      <x:c r="E13" s="22" t="s">
        <x:v>56</x:v>
      </x:c>
      <x:c r="F13" s="20" t="s">
        <x:v>56</x:v>
      </x:c>
    </x:row>
    <x:row r="14" ht="81" customHeight="1">
      <x:c r="A14" s="20" t="s">
        <x:v>38</x:v>
      </x:c>
      <x:c r="B14" s="20">
        <x:v>2</x:v>
      </x:c>
      <x:c r="C14" s="20" t="s">
        <x:v>15</x:v>
      </x:c>
      <x:c r="D14" s="20" t="s">
        <x:v>57</x:v>
      </x:c>
      <x:c r="E14" s="22" t="s">
        <x:v>58</x:v>
      </x:c>
      <x:c r="F14" s="20" t="s">
        <x:v>58</x:v>
      </x:c>
    </x:row>
    <x:row r="15" ht="81" customHeight="1">
      <x:c r="A15" s="20" t="s">
        <x:v>38</x:v>
      </x:c>
      <x:c r="B15" s="20">
        <x:v>1</x:v>
      </x:c>
      <x:c r="C15" s="20" t="s">
        <x:v>15</x:v>
      </x:c>
      <x:c r="D15" s="20" t="s">
        <x:v>59</x:v>
      </x:c>
      <x:c r="E15" s="22" t="s">
        <x:v>60</x:v>
      </x:c>
      <x:c r="F15" s="20" t="s">
        <x:v>60</x:v>
      </x:c>
    </x:row>
    <x:row r="18" ht="16.5">
      <x:c r="A18" s="23" t="s">
        <x:v>61</x:v>
      </x:c>
      <x:c r="B18" s="23"/>
      <x:c r="C18" s="23"/>
      <x:c r="D18" s="23"/>
      <x:c r="E18" s="23"/>
      <x:c r="F18" s="23"/>
      <x:c r="G18" s="23"/>
      <x:c r="H18" s="23"/>
      <x:c r="I18" s="23"/>
      <x:c r="J18" s="23"/>
      <x:c r="K18" s="23"/>
      <x:c r="L18" s="23"/>
    </x:row>
    <x:row r="19">
      <x:c r="A19" s="24" t="s">
        <x:v>62</x:v>
      </x:c>
      <x:c r="B19" s="24"/>
      <x:c r="C19" s="24"/>
      <x:c r="D19" s="24"/>
      <x:c r="E19" s="24"/>
      <x:c r="F19" s="24"/>
      <x:c r="G19" s="24"/>
      <x:c r="H19" s="24"/>
      <x:c r="I19" s="24"/>
      <x:c r="J19" s="24"/>
      <x:c r="K19" s="24"/>
      <x:c r="L19" s="24"/>
    </x:row>
    <x:row r="21" ht="24" customHeight="1">
      <x:c r="A21" s="19" t="s">
        <x:v>63</x:v>
      </x:c>
      <x:c r="B21" s="19" t="s">
        <x:v>64</x:v>
      </x:c>
      <x:c r="C21" s="19" t="s">
        <x:v>0</x:v>
      </x:c>
      <x:c r="D21" s="19" t="s">
        <x:v>65</x:v>
      </x:c>
      <x:c r="E21" s="19" t="s">
        <x:v>66</x:v>
      </x:c>
      <x:c r="F21" s="19" t="s">
        <x:v>67</x:v>
      </x:c>
      <x:c r="G21" s="19" t="s">
        <x:v>68</x:v>
      </x:c>
      <x:c r="H21" s="19" t="s">
        <x:v>69</x:v>
      </x:c>
      <x:c r="I21" s="19" t="s">
        <x:v>70</x:v>
      </x:c>
      <x:c r="J21" s="19" t="s">
        <x:v>71</x:v>
      </x:c>
      <x:c r="K21" s="19" t="s">
        <x:v>72</x:v>
      </x:c>
      <x:c r="L21" s="19" t="s">
        <x:v>73</x:v>
      </x:c>
    </x:row>
    <x:row r="22" ht="27" customHeight="1">
      <x:c r="A22" s="21" t="s">
        <x:v>74</x:v>
      </x:c>
      <x:c r="B22" s="21" t="s">
        <x:v>10</x:v>
      </x:c>
      <x:c r="C22" s="21" t="s">
        <x:v>9</x:v>
      </x:c>
      <x:c r="D22" s="21" t="s">
        <x:v>75</x:v>
      </x:c>
      <x:c r="E22" s="21" t="s">
        <x:v>76</x:v>
      </x:c>
      <x:c r="F22" s="21" t="s">
        <x:v>77</x:v>
      </x:c>
      <x:c r="G22" s="21" t="s">
        <x:v>78</x:v>
      </x:c>
      <x:c r="H22" s="21" t="s">
        <x:v>79</x:v>
      </x:c>
      <x:c r="I22" s="21">
        <x:v>2</x:v>
      </x:c>
      <x:c r="J22" s="21" t="s">
        <x:v>80</x:v>
      </x:c>
      <x:c r="K22" s="21" t="s">
        <x:v>81</x:v>
      </x:c>
      <x:c r="L22" s="21" t="s">
        <x:v>82</x:v>
      </x:c>
    </x:row>
    <x:row r="23" ht="27" customHeight="1">
      <x:c r="A23" s="21" t="s">
        <x:v>74</x:v>
      </x:c>
      <x:c r="B23" s="21" t="s">
        <x:v>13</x:v>
      </x:c>
      <x:c r="C23" s="21" t="s">
        <x:v>9</x:v>
      </x:c>
      <x:c r="D23" s="21" t="s">
        <x:v>83</x:v>
      </x:c>
      <x:c r="E23" s="21" t="s">
        <x:v>84</x:v>
      </x:c>
      <x:c r="F23" s="21" t="s">
        <x:v>85</x:v>
      </x:c>
      <x:c r="G23" s="21" t="s">
        <x:v>86</x:v>
      </x:c>
      <x:c r="H23" s="21" t="s">
        <x:v>87</x:v>
      </x:c>
      <x:c r="I23" s="21">
        <x:v>3</x:v>
      </x:c>
      <x:c r="J23" s="21" t="s">
        <x:v>88</x:v>
      </x:c>
      <x:c r="K23" s="21" t="s">
        <x:v>89</x:v>
      </x:c>
      <x:c r="L23" s="21" t="s">
        <x:v>90</x:v>
      </x:c>
    </x:row>
    <x:row r="24" ht="27" customHeight="1">
      <x:c r="A24" s="21" t="s">
        <x:v>74</x:v>
      </x:c>
      <x:c r="B24" s="21" t="s">
        <x:v>13</x:v>
      </x:c>
      <x:c r="C24" s="21" t="s">
        <x:v>9</x:v>
      </x:c>
      <x:c r="D24" s="21" t="s">
        <x:v>91</x:v>
      </x:c>
      <x:c r="E24" s="21" t="s">
        <x:v>92</x:v>
      </x:c>
      <x:c r="F24" s="21" t="s">
        <x:v>93</x:v>
      </x:c>
      <x:c r="G24" s="21" t="s">
        <x:v>94</x:v>
      </x:c>
      <x:c r="H24" s="21" t="s">
        <x:v>87</x:v>
      </x:c>
      <x:c r="I24" s="21">
        <x:v>1</x:v>
      </x:c>
      <x:c r="J24" s="21" t="s">
        <x:v>95</x:v>
      </x:c>
      <x:c r="K24" s="21" t="s">
        <x:v>96</x:v>
      </x:c>
      <x:c r="L24" s="21" t="s">
        <x:v>97</x:v>
      </x:c>
    </x:row>
    <x:row r="25" ht="27" customHeight="1">
      <x:c r="A25" s="21" t="s">
        <x:v>74</x:v>
      </x:c>
      <x:c r="B25" s="21" t="s">
        <x:v>13</x:v>
      </x:c>
      <x:c r="C25" s="21" t="s">
        <x:v>9</x:v>
      </x:c>
      <x:c r="D25" s="21" t="s">
        <x:v>98</x:v>
      </x:c>
      <x:c r="E25" s="21" t="s">
        <x:v>99</x:v>
      </x:c>
      <x:c r="F25" s="21" t="s">
        <x:v>100</x:v>
      </x:c>
      <x:c r="G25" s="21" t="s">
        <x:v>101</x:v>
      </x:c>
      <x:c r="H25" s="21" t="s">
        <x:v>102</x:v>
      </x:c>
      <x:c r="I25" s="21">
        <x:v>1</x:v>
      </x:c>
      <x:c r="J25" s="21" t="s">
        <x:v>103</x:v>
      </x:c>
      <x:c r="K25" s="21" t="s">
        <x:v>104</x:v>
      </x:c>
      <x:c r="L25" s="21" t="s">
        <x:v>105</x:v>
      </x:c>
    </x:row>
    <x:row r="26" ht="27" customHeight="1">
      <x:c r="A26" s="21" t="s">
        <x:v>74</x:v>
      </x:c>
      <x:c r="B26" s="21" t="s">
        <x:v>13</x:v>
      </x:c>
      <x:c r="C26" s="21" t="s">
        <x:v>9</x:v>
      </x:c>
      <x:c r="D26" s="21" t="s">
        <x:v>106</x:v>
      </x:c>
      <x:c r="E26" s="21" t="s">
        <x:v>107</x:v>
      </x:c>
      <x:c r="F26" s="21" t="s">
        <x:v>108</x:v>
      </x:c>
      <x:c r="G26" s="21" t="s">
        <x:v>109</x:v>
      </x:c>
      <x:c r="H26" s="21" t="s">
        <x:v>110</x:v>
      </x:c>
      <x:c r="I26" s="21">
        <x:v>1</x:v>
      </x:c>
      <x:c r="J26" s="21" t="s">
        <x:v>103</x:v>
      </x:c>
      <x:c r="K26" s="21" t="s">
        <x:v>111</x:v>
      </x:c>
      <x:c r="L26" s="21" t="s">
        <x:v>112</x:v>
      </x:c>
    </x:row>
    <x:row r="27" ht="27" customHeight="1">
      <x:c r="A27" s="21" t="s">
        <x:v>74</x:v>
      </x:c>
      <x:c r="B27" s="21" t="s">
        <x:v>13</x:v>
      </x:c>
      <x:c r="C27" s="21" t="s">
        <x:v>9</x:v>
      </x:c>
      <x:c r="D27" s="21" t="s">
        <x:v>113</x:v>
      </x:c>
      <x:c r="E27" s="21" t="s">
        <x:v>114</x:v>
      </x:c>
      <x:c r="F27" s="21" t="s">
        <x:v>115</x:v>
      </x:c>
      <x:c r="G27" s="21" t="s">
        <x:v>116</x:v>
      </x:c>
      <x:c r="H27" s="21" t="s">
        <x:v>117</x:v>
      </x:c>
      <x:c r="I27" s="21">
        <x:v>1</x:v>
      </x:c>
      <x:c r="J27" s="21" t="s">
        <x:v>118</x:v>
      </x:c>
      <x:c r="K27" s="21" t="s">
        <x:v>119</x:v>
      </x:c>
      <x:c r="L27" s="21" t="s">
        <x:v>120</x:v>
      </x:c>
    </x:row>
    <x:row r="28" ht="27" customHeight="1">
      <x:c r="A28" s="21" t="s">
        <x:v>74</x:v>
      </x:c>
      <x:c r="B28" s="21" t="s">
        <x:v>13</x:v>
      </x:c>
      <x:c r="C28" s="21" t="s">
        <x:v>9</x:v>
      </x:c>
      <x:c r="D28" s="21" t="s">
        <x:v>121</x:v>
      </x:c>
      <x:c r="E28" s="21" t="s">
        <x:v>122</x:v>
      </x:c>
      <x:c r="F28" s="21" t="s">
        <x:v>123</x:v>
      </x:c>
      <x:c r="G28" s="21" t="s">
        <x:v>86</x:v>
      </x:c>
      <x:c r="H28" s="21" t="s">
        <x:v>87</x:v>
      </x:c>
      <x:c r="I28" s="21">
        <x:v>5</x:v>
      </x:c>
      <x:c r="J28" s="21" t="s">
        <x:v>118</x:v>
      </x:c>
      <x:c r="K28" s="21" t="s">
        <x:v>124</x:v>
      </x:c>
      <x:c r="L28" s="21" t="s">
        <x:v>125</x:v>
      </x:c>
    </x:row>
    <x:row r="29" ht="27" customHeight="1">
      <x:c r="A29" s="21" t="s">
        <x:v>74</x:v>
      </x:c>
      <x:c r="B29" s="21" t="s">
        <x:v>13</x:v>
      </x:c>
      <x:c r="C29" s="21" t="s">
        <x:v>9</x:v>
      </x:c>
      <x:c r="D29" s="21" t="s">
        <x:v>126</x:v>
      </x:c>
      <x:c r="E29" s="21" t="s">
        <x:v>127</x:v>
      </x:c>
      <x:c r="F29" s="21" t="s">
        <x:v>128</x:v>
      </x:c>
      <x:c r="G29" s="21" t="s">
        <x:v>129</x:v>
      </x:c>
      <x:c r="H29" s="21" t="s">
        <x:v>117</x:v>
      </x:c>
      <x:c r="I29" s="21">
        <x:v>1</x:v>
      </x:c>
      <x:c r="J29" s="21" t="s">
        <x:v>130</x:v>
      </x:c>
      <x:c r="K29" s="21" t="s">
        <x:v>131</x:v>
      </x:c>
      <x:c r="L29" s="21" t="s">
        <x:v>132</x:v>
      </x:c>
    </x:row>
    <x:row r="30" ht="27" customHeight="1">
      <x:c r="A30" s="21" t="s">
        <x:v>74</x:v>
      </x:c>
      <x:c r="B30" s="21" t="s">
        <x:v>13</x:v>
      </x:c>
      <x:c r="C30" s="21" t="s">
        <x:v>9</x:v>
      </x:c>
      <x:c r="D30" s="21" t="s">
        <x:v>133</x:v>
      </x:c>
      <x:c r="E30" s="21" t="s">
        <x:v>134</x:v>
      </x:c>
      <x:c r="F30" s="21" t="s">
        <x:v>135</x:v>
      </x:c>
      <x:c r="G30" s="21" t="s">
        <x:v>129</x:v>
      </x:c>
      <x:c r="H30" s="21" t="s">
        <x:v>117</x:v>
      </x:c>
      <x:c r="I30" s="21">
        <x:v>3</x:v>
      </x:c>
      <x:c r="J30" s="21" t="s">
        <x:v>136</x:v>
      </x:c>
      <x:c r="K30" s="21" t="s">
        <x:v>137</x:v>
      </x:c>
      <x:c r="L30" s="21" t="s">
        <x:v>138</x:v>
      </x:c>
    </x:row>
    <x:row r="31" ht="27" customHeight="1">
      <x:c r="A31" s="21" t="s">
        <x:v>74</x:v>
      </x:c>
      <x:c r="B31" s="21" t="s">
        <x:v>13</x:v>
      </x:c>
      <x:c r="C31" s="21" t="s">
        <x:v>9</x:v>
      </x:c>
      <x:c r="D31" s="21" t="s">
        <x:v>139</x:v>
      </x:c>
      <x:c r="E31" s="21" t="s">
        <x:v>140</x:v>
      </x:c>
      <x:c r="F31" s="21" t="s">
        <x:v>141</x:v>
      </x:c>
      <x:c r="G31" s="21" t="s">
        <x:v>129</x:v>
      </x:c>
      <x:c r="H31" s="21" t="s">
        <x:v>117</x:v>
      </x:c>
      <x:c r="I31" s="21">
        <x:v>5</x:v>
      </x:c>
      <x:c r="J31" s="21" t="s">
        <x:v>142</x:v>
      </x:c>
      <x:c r="K31" s="21" t="s">
        <x:v>143</x:v>
      </x:c>
      <x:c r="L31" s="21" t="s">
        <x:v>144</x:v>
      </x:c>
    </x:row>
    <x:row r="32" ht="27" customHeight="1">
      <x:c r="A32" s="21" t="s">
        <x:v>74</x:v>
      </x:c>
      <x:c r="B32" s="21" t="s">
        <x:v>13</x:v>
      </x:c>
      <x:c r="C32" s="21" t="s">
        <x:v>9</x:v>
      </x:c>
      <x:c r="D32" s="21" t="s">
        <x:v>145</x:v>
      </x:c>
      <x:c r="E32" s="21" t="s">
        <x:v>146</x:v>
      </x:c>
      <x:c r="F32" s="21" t="s">
        <x:v>147</x:v>
      </x:c>
      <x:c r="G32" s="21" t="s">
        <x:v>148</x:v>
      </x:c>
      <x:c r="H32" s="21" t="s">
        <x:v>149</x:v>
      </x:c>
      <x:c r="I32" s="21">
        <x:v>2</x:v>
      </x:c>
      <x:c r="J32" s="21" t="s">
        <x:v>150</x:v>
      </x:c>
      <x:c r="K32" s="21" t="s">
        <x:v>151</x:v>
      </x:c>
      <x:c r="L32" s="21" t="s">
        <x:v>152</x:v>
      </x:c>
    </x:row>
    <x:row r="33" ht="27" customHeight="1">
      <x:c r="A33" s="21" t="s">
        <x:v>74</x:v>
      </x:c>
      <x:c r="B33" s="21" t="s">
        <x:v>13</x:v>
      </x:c>
      <x:c r="C33" s="21" t="s">
        <x:v>9</x:v>
      </x:c>
      <x:c r="D33" s="21" t="s">
        <x:v>153</x:v>
      </x:c>
      <x:c r="E33" s="21" t="s">
        <x:v>154</x:v>
      </x:c>
      <x:c r="F33" s="21" t="s">
        <x:v>155</x:v>
      </x:c>
      <x:c r="G33" s="21" t="s">
        <x:v>129</x:v>
      </x:c>
      <x:c r="H33" s="21" t="s">
        <x:v>117</x:v>
      </x:c>
      <x:c r="I33" s="21">
        <x:v>7</x:v>
      </x:c>
      <x:c r="J33" s="21" t="s">
        <x:v>156</x:v>
      </x:c>
      <x:c r="K33" s="21" t="s">
        <x:v>157</x:v>
      </x:c>
      <x:c r="L33" s="21" t="s">
        <x:v>158</x:v>
      </x:c>
    </x:row>
    <x:row r="34" ht="27" customHeight="1">
      <x:c r="A34" s="21" t="s">
        <x:v>74</x:v>
      </x:c>
      <x:c r="B34" s="21" t="s">
        <x:v>13</x:v>
      </x:c>
      <x:c r="C34" s="21" t="s">
        <x:v>9</x:v>
      </x:c>
      <x:c r="D34" s="21" t="s">
        <x:v>159</x:v>
      </x:c>
      <x:c r="E34" s="21" t="s">
        <x:v>160</x:v>
      </x:c>
      <x:c r="F34" s="21" t="s">
        <x:v>161</x:v>
      </x:c>
      <x:c r="G34" s="21" t="s">
        <x:v>148</x:v>
      </x:c>
      <x:c r="H34" s="21" t="s">
        <x:v>149</x:v>
      </x:c>
      <x:c r="I34" s="21">
        <x:v>8</x:v>
      </x:c>
      <x:c r="J34" s="21" t="s">
        <x:v>162</x:v>
      </x:c>
      <x:c r="K34" s="21" t="s">
        <x:v>163</x:v>
      </x:c>
      <x:c r="L34" s="21" t="s">
        <x:v>164</x:v>
      </x:c>
    </x:row>
    <x:row r="35" ht="27" customHeight="1">
      <x:c r="A35" s="21" t="s">
        <x:v>74</x:v>
      </x:c>
      <x:c r="B35" s="21" t="s">
        <x:v>13</x:v>
      </x:c>
      <x:c r="C35" s="21" t="s">
        <x:v>9</x:v>
      </x:c>
      <x:c r="D35" s="21" t="s">
        <x:v>165</x:v>
      </x:c>
      <x:c r="E35" s="21" t="s">
        <x:v>166</x:v>
      </x:c>
      <x:c r="F35" s="21" t="s">
        <x:v>167</x:v>
      </x:c>
      <x:c r="G35" s="21" t="s">
        <x:v>109</x:v>
      </x:c>
      <x:c r="H35" s="21" t="s">
        <x:v>110</x:v>
      </x:c>
      <x:c r="I35" s="21">
        <x:v>6</x:v>
      </x:c>
      <x:c r="J35" s="21" t="s">
        <x:v>168</x:v>
      </x:c>
      <x:c r="K35" s="21" t="s">
        <x:v>169</x:v>
      </x:c>
      <x:c r="L35" s="21" t="s">
        <x:v>170</x:v>
      </x:c>
    </x:row>
    <x:row r="36" ht="27" customHeight="1">
      <x:c r="A36" s="21" t="s">
        <x:v>74</x:v>
      </x:c>
      <x:c r="B36" s="21" t="s">
        <x:v>13</x:v>
      </x:c>
      <x:c r="C36" s="21" t="s">
        <x:v>9</x:v>
      </x:c>
      <x:c r="D36" s="21" t="s">
        <x:v>171</x:v>
      </x:c>
      <x:c r="E36" s="21" t="s">
        <x:v>172</x:v>
      </x:c>
      <x:c r="F36" s="21" t="s">
        <x:v>173</x:v>
      </x:c>
      <x:c r="G36" s="21" t="s">
        <x:v>148</x:v>
      </x:c>
      <x:c r="H36" s="21" t="s">
        <x:v>149</x:v>
      </x:c>
      <x:c r="I36" s="21">
        <x:v>7</x:v>
      </x:c>
      <x:c r="J36" s="21" t="s">
        <x:v>174</x:v>
      </x:c>
      <x:c r="K36" s="21" t="s">
        <x:v>175</x:v>
      </x:c>
      <x:c r="L36" s="21" t="s">
        <x:v>176</x:v>
      </x:c>
    </x:row>
    <x:row r="37" ht="27" customHeight="1">
      <x:c r="A37" s="21" t="s">
        <x:v>74</x:v>
      </x:c>
      <x:c r="B37" s="21" t="s">
        <x:v>13</x:v>
      </x:c>
      <x:c r="C37" s="21" t="s">
        <x:v>15</x:v>
      </x:c>
      <x:c r="D37" s="21" t="s">
        <x:v>177</x:v>
      </x:c>
      <x:c r="E37" s="21" t="s">
        <x:v>178</x:v>
      </x:c>
      <x:c r="F37" s="21" t="s">
        <x:v>179</x:v>
      </x:c>
      <x:c r="G37" s="21" t="s">
        <x:v>180</x:v>
      </x:c>
      <x:c r="H37" s="21" t="s">
        <x:v>87</x:v>
      </x:c>
      <x:c r="I37" s="21">
        <x:v>1</x:v>
      </x:c>
      <x:c r="J37" s="21" t="s">
        <x:v>181</x:v>
      </x:c>
      <x:c r="K37" s="21" t="s">
        <x:v>182</x:v>
      </x:c>
      <x:c r="L37" s="21" t="s">
        <x:v>183</x:v>
      </x:c>
    </x:row>
    <x:row r="38" ht="27" customHeight="1">
      <x:c r="A38" s="21" t="s">
        <x:v>74</x:v>
      </x:c>
      <x:c r="B38" s="21" t="s">
        <x:v>13</x:v>
      </x:c>
      <x:c r="C38" s="21" t="s">
        <x:v>15</x:v>
      </x:c>
      <x:c r="D38" s="21" t="s">
        <x:v>184</x:v>
      </x:c>
      <x:c r="E38" s="21" t="s">
        <x:v>185</x:v>
      </x:c>
      <x:c r="F38" s="21" t="s">
        <x:v>186</x:v>
      </x:c>
      <x:c r="G38" s="21" t="s">
        <x:v>187</x:v>
      </x:c>
      <x:c r="H38" s="21" t="s">
        <x:v>149</x:v>
      </x:c>
      <x:c r="I38" s="21">
        <x:v>2</x:v>
      </x:c>
      <x:c r="J38" s="21" t="s">
        <x:v>188</x:v>
      </x:c>
      <x:c r="K38" s="21" t="s">
        <x:v>189</x:v>
      </x:c>
      <x:c r="L38" s="21" t="s">
        <x:v>190</x:v>
      </x:c>
    </x:row>
  </x:sheetData>
  <x:mergeCells>
    <x:mergeCell ref="A1:F1"/>
    <x:mergeCell ref="A2:F2"/>
    <x:mergeCell ref="A18:L18"/>
    <x:mergeCell ref="A19:L19"/>
  </x:mergeCells>
  <x:dataValidations count="2">
    <x:dataValidation type="list" sqref="A5:A204">
      <x:formula1>"KEEP,PENDING,DROP,ADD"</x:formula1>
    </x:dataValidation>
    <x:dataValidation type="list" sqref="C5:C204">
      <x:formula1>"standard,modern"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1.25" customWidth="1"/>
    <x:col min="3" max="3" width="10" customWidth="1"/>
    <x:col min="4" max="4" width="14.383333206176758" customWidth="1"/>
    <x:col min="5" max="5" width="22.5" customWidth="1"/>
    <x:col min="6" max="6" width="11.883333206176758" customWidth="1"/>
    <x:col min="7" max="7" width="6.883333206176758" customWidth="1"/>
    <x:col min="8" max="9" width="18.75" customWidth="1"/>
    <x:col min="10" max="10" width="19.383333206176758" customWidth="1"/>
    <x:col min="11" max="11" width="15" customWidth="1"/>
    <x:col min="12" max="12" width="23.75" customWidth="1"/>
    <x:col min="13" max="13" width="32.5" customWidth="1"/>
    <x:col min="14" max="14" width="37.5" customWidth="1"/>
    <x:col min="15" max="18" width="18.75" customWidth="1"/>
    <x:col min="19" max="20" width="32.5" customWidth="1"/>
    <x:col min="21" max="21" width="52.5" customWidth="1"/>
    <x:col min="22" max="22" width="45" customWidth="1"/>
    <x:col min="23" max="23" width="18.133333206176758" customWidth="1"/>
    <x:col min="24" max="24" width="19.383333206176758" customWidth="1"/>
    <x:col min="25" max="25" width="24.383333206176758" customWidth="1"/>
    <x:col min="26" max="26" width="16.883333206176758" customWidth="1"/>
    <x:col min="27" max="27" width="35.63333511352539" customWidth="1"/>
  </x:cols>
  <x:sheetData>
    <x:row r="1" ht="25.5" customHeight="1">
      <x:c r="A1" s="15" t="s">
        <x:v>191</x:v>
      </x:c>
      <x:c r="B1" s="1"/>
      <x:c r="C1" s="1"/>
      <x:c r="D1" s="1"/>
      <x:c r="E1" s="1"/>
      <x:c r="F1" s="1"/>
      <x:c r="G1" s="1"/>
      <x:c r="H1" s="1"/>
      <x:c r="I1" s="1"/>
      <x:c r="J1" s="1"/>
      <x:c r="K1" s="1"/>
      <x:c r="L1" s="1"/>
      <x:c r="M1" s="1"/>
      <x:c r="N1" s="1"/>
      <x:c r="O1" s="1"/>
      <x:c r="P1" s="1"/>
      <x:c r="Q1" s="1"/>
      <x:c r="R1" s="1"/>
      <x:c r="S1" s="1"/>
      <x:c r="T1" s="1"/>
      <x:c r="U1" s="1"/>
      <x:c r="V1" s="1"/>
      <x:c r="W1" s="1"/>
      <x:c r="X1" s="1"/>
    </x:row>
    <x:row r="2" ht="37.5" customHeight="1">
      <x:c r="A2" s="2" t="s">
        <x:v>192</x:v>
      </x:c>
      <x:c r="B2" s="2"/>
      <x:c r="C2" s="2"/>
      <x:c r="D2" s="2"/>
      <x:c r="E2" s="2"/>
      <x:c r="F2" s="2"/>
      <x:c r="G2" s="2"/>
      <x:c r="H2" s="2"/>
      <x:c r="I2" s="2"/>
      <x:c r="J2" s="2"/>
      <x:c r="K2" s="2"/>
      <x:c r="L2" s="2"/>
      <x:c r="M2" s="2"/>
      <x:c r="N2" s="2"/>
      <x:c r="O2" s="2"/>
      <x:c r="P2" s="2"/>
      <x:c r="Q2" s="2"/>
      <x:c r="R2" s="2"/>
      <x:c r="S2" s="2"/>
      <x:c r="T2" s="2"/>
      <x:c r="U2" s="2"/>
      <x:c r="V2" s="2"/>
      <x:c r="W2" s="2"/>
      <x:c r="X2" s="2"/>
      <x:c r="Y2" s="2"/>
      <x:c r="Z2" s="2"/>
      <x:c r="AA2" s="2"/>
    </x:row>
    <x:row r="4" ht="24" customHeight="1">
      <x:c r="A4" s="3" t="s">
        <x:v>193</x:v>
      </x:c>
      <x:c r="B4" s="3" t="s">
        <x:v>64</x:v>
      </x:c>
      <x:c r="C4" s="3" t="s">
        <x:v>0</x:v>
      </x:c>
      <x:c r="D4" s="3" t="s">
        <x:v>194</x:v>
      </x:c>
      <x:c r="E4" s="3" t="s">
        <x:v>68</x:v>
      </x:c>
      <x:c r="F4" s="3" t="s">
        <x:v>69</x:v>
      </x:c>
      <x:c r="G4" s="3" t="s">
        <x:v>70</x:v>
      </x:c>
      <x:c r="H4" s="3" t="s">
        <x:v>195</x:v>
      </x:c>
      <x:c r="I4" s="3" t="s">
        <x:v>196</x:v>
      </x:c>
      <x:c r="J4" s="3" t="s">
        <x:v>197</x:v>
      </x:c>
      <x:c r="K4" s="3" t="s">
        <x:v>72</x:v>
      </x:c>
      <x:c r="L4" s="3" t="s">
        <x:v>73</x:v>
      </x:c>
      <x:c r="M4" s="3" t="s">
        <x:v>198</x:v>
      </x:c>
      <x:c r="N4" s="3" t="s">
        <x:v>199</x:v>
      </x:c>
      <x:c r="O4" s="3" t="s">
        <x:v>200</x:v>
      </x:c>
      <x:c r="P4" s="3" t="s">
        <x:v>201</x:v>
      </x:c>
      <x:c r="Q4" s="3" t="s">
        <x:v>202</x:v>
      </x:c>
      <x:c r="R4" s="3" t="s">
        <x:v>203</x:v>
      </x:c>
      <x:c r="S4" s="3" t="s">
        <x:v>36</x:v>
      </x:c>
      <x:c r="T4" s="3" t="s">
        <x:v>37</x:v>
      </x:c>
      <x:c r="U4" s="3" t="s">
        <x:v>204</x:v>
      </x:c>
      <x:c r="V4" s="3" t="s">
        <x:v>205</x:v>
      </x:c>
      <x:c r="W4" s="3" t="s">
        <x:v>206</x:v>
      </x:c>
      <x:c r="X4" s="3" t="s">
        <x:v>207</x:v>
      </x:c>
      <x:c r="Y4" s="3" t="s">
        <x:v>208</x:v>
      </x:c>
      <x:c r="Z4" s="3" t="s">
        <x:v>209</x:v>
      </x:c>
      <x:c r="AA4" s="3" t="s">
        <x:v>210</x:v>
      </x:c>
    </x:row>
    <x:row r="5" ht="69" customHeight="1">
      <x:c r="A5" s="6" t="s">
        <x:v>211</x:v>
      </x:c>
      <x:c r="B5" s="4" t="s">
        <x:v>10</x:v>
      </x:c>
      <x:c r="C5" s="4" t="s">
        <x:v>9</x:v>
      </x:c>
      <x:c r="D5" s="6" t="s">
        <x:v>212</x:v>
      </x:c>
      <x:c r="E5" s="4" t="s">
        <x:v>78</x:v>
      </x:c>
      <x:c r="F5" s="4" t="s">
        <x:v>79</x:v>
      </x:c>
      <x:c r="G5" s="4">
        <x:v>2</x:v>
      </x:c>
      <x:c r="H5" s="4" t="str">
        <x:f>_xlfn.XLOOKUP($AA5,'Bilingual Names'!$L$5:$L$327,'Bilingual Names'!$F$5:$F$327,"")</x:f>
        <x:v>4-Color Tablet</x:v>
      </x:c>
      <x:c r="I5" s="4" t="str">
        <x:f>_xlfn.XLOOKUP($AA5,'Bilingual Names'!$L$5:$L$327,'Bilingual Names'!$J$5:$J$327,"")</x:f>
        <x:v>四色石板</x:v>
      </x:c>
      <x:c r="J5" s="7" t="str">
        <x:f>_xlfn.XLOOKUP($AA5,'Bilingual Names'!$L$5:$L$327,'Bilingual Names'!$K$5:$K$327,"")</x:f>
        <x:v>APPROVED</x:v>
      </x:c>
      <x:c r="K5" s="4" t="s">
        <x:v>81</x:v>
      </x:c>
      <x:c r="L5" s="4" t="s">
        <x:v>82</x:v>
      </x:c>
      <x:c r="M5" s="4" t="s">
        <x:v>213</x:v>
      </x:c>
      <x:c r="N5" s="6" t="s">
        <x:v>214</x:v>
      </x:c>
      <x:c r="O5" s="6"/>
      <x:c r="P5" s="6"/>
      <x:c r="Q5" s="6"/>
      <x:c r="R5" s="6"/>
      <x:c r="S5" s="5"/>
      <x:c r="T5" s="6"/>
      <x:c r="U5" s="4" t="s">
        <x:v>215</x:v>
      </x:c>
      <x:c r="V5" s="4" t="s">
        <x:v>216</x:v>
      </x:c>
      <x:c r="W5" s="7" t="str">
        <x:f t="shared" ref="W5:W21" si="0">IF(A5&lt;&gt;"KEEP","NOT SELECTED",IF(OR(D5="",N5="",O5="",P5="",Q5="",R5=""),"NEEDS INPUT","READY"))</x:f>
        <x:v>NOT SELECTED</x:v>
      </x:c>
      <x:c r="X5" s="7" t="str">
        <x:f t="shared" ref="X5:X21" si="1">IF(A5&lt;&gt;"KEEP","NOT SELECTED",IF(S5="","NEEDS P12-15C DRAFT",IF(T5="","NEEDS OWNER REVIEW","READY")))</x:f>
        <x:v>NOT SELECTED</x:v>
      </x:c>
      <x:c r="Y5" s="4" t="s">
        <x:v>217</x:v>
      </x:c>
      <x:c r="Z5" s="4"/>
      <x:c r="AA5" s="4" t="s">
        <x:v>218</x:v>
      </x:c>
    </x:row>
    <x:row r="6" ht="69" customHeight="1">
      <x:c r="A6" s="6" t="s">
        <x:v>38</x:v>
      </x:c>
      <x:c r="B6" s="4" t="s">
        <x:v>13</x:v>
      </x:c>
      <x:c r="C6" s="4" t="s">
        <x:v>9</x:v>
      </x:c>
      <x:c r="D6" s="6" t="s">
        <x:v>219</x:v>
      </x:c>
      <x:c r="E6" s="4" t="s">
        <x:v>86</x:v>
      </x:c>
      <x:c r="F6" s="4" t="s">
        <x:v>87</x:v>
      </x:c>
      <x:c r="G6" s="4">
        <x:v>3</x:v>
      </x:c>
      <x:c r="H6" s="4" t="str">
        <x:f>_xlfn.XLOOKUP($AA6,'Bilingual Names'!$L$5:$L$327,'Bilingual Names'!$F$5:$F$327,"")</x:f>
        <x:v>Grixis Tablet</x:v>
      </x:c>
      <x:c r="I6" s="4" t="str">
        <x:f>_xlfn.XLOOKUP($AA6,'Bilingual Names'!$L$5:$L$327,'Bilingual Names'!$J$5:$J$327,"")</x:f>
        <x:v>格利极石板</x:v>
      </x:c>
      <x:c r="J6" s="7" t="str">
        <x:f>_xlfn.XLOOKUP($AA6,'Bilingual Names'!$L$5:$L$327,'Bilingual Names'!$K$5:$K$327,"")</x:f>
        <x:v>APPROVED</x:v>
      </x:c>
      <x:c r="K6" s="4" t="s">
        <x:v>89</x:v>
      </x:c>
      <x:c r="L6" s="4" t="s">
        <x:v>90</x:v>
      </x:c>
      <x:c r="M6" s="4" t="s">
        <x:v>220</x:v>
      </x:c>
      <x:c r="N6" s="6" t="s">
        <x:v>221</x:v>
      </x:c>
      <x:c r="O6" s="6" t="s">
        <x:v>222</x:v>
      </x:c>
      <x:c r="P6" s="6" t="s">
        <x:v>223</x:v>
      </x:c>
      <x:c r="Q6" s="6" t="s">
        <x:v>224</x:v>
      </x:c>
      <x:c r="R6" s="6" t="s">
        <x:v>225</x:v>
      </x:c>
      <x:c r="S6" s="5" t="s">
        <x:v>226</x:v>
      </x:c>
      <x:c r="T6" s="6" t="str">
        <x:v>A Grixis Tablet control deck. This build leans more heavily on land destruction and pairs that plan with Fin Fang Foom.</x:v>
      </x:c>
      <x:c r="U6" s="4" t="s">
        <x:v>227</x:v>
      </x:c>
      <x:c r="V6" s="4" t="s">
        <x:v>228</x:v>
      </x:c>
      <x:c r="W6" s="7" t="str">
        <x:f t="shared" si="0">IF(A6&lt;&gt;"KEEP","NOT SELECTED",IF(OR(D6="",N6="",O6="",P6="",Q6="",R6=""),"NEEDS INPUT","READY"))</x:f>
        <x:v>READY</x:v>
      </x:c>
      <x:c r="X6" s="7" t="str">
        <x:f t="shared" si="1">IF(A6&lt;&gt;"KEEP","NOT SELECTED",IF(S6="","NEEDS P12-15C DRAFT",IF(T6="","NEEDS OWNER REVIEW","READY")))</x:f>
        <x:v>READY</x:v>
      </x:c>
      <x:c r="Y6" s="4" t="s">
        <x:v>229</x:v>
      </x:c>
      <x:c r="Z6" s="4"/>
      <x:c r="AA6" s="4" t="s">
        <x:v>230</x:v>
      </x:c>
    </x:row>
    <x:row r="7" ht="69" customHeight="1">
      <x:c r="A7" s="6" t="s">
        <x:v>38</x:v>
      </x:c>
      <x:c r="B7" s="4" t="s">
        <x:v>13</x:v>
      </x:c>
      <x:c r="C7" s="4" t="s">
        <x:v>9</x:v>
      </x:c>
      <x:c r="D7" s="6" t="s">
        <x:v>212</x:v>
      </x:c>
      <x:c r="E7" s="4" t="s">
        <x:v>94</x:v>
      </x:c>
      <x:c r="F7" s="4" t="s">
        <x:v>87</x:v>
      </x:c>
      <x:c r="G7" s="4">
        <x:v>1</x:v>
      </x:c>
      <x:c r="H7" s="4" t="str">
        <x:f>_xlfn.XLOOKUP($AA7,'Bilingual Names'!$L$5:$L$327,'Bilingual Names'!$F$5:$F$327,"")</x:f>
        <x:v>Jeskai Lessons</x:v>
      </x:c>
      <x:c r="I7" s="4" t="str">
        <x:f>_xlfn.XLOOKUP($AA7,'Bilingual Names'!$L$5:$L$327,'Bilingual Names'!$J$5:$J$327,"")</x:f>
        <x:v>洁斯凯课程</x:v>
      </x:c>
      <x:c r="J7" s="7" t="str">
        <x:f>_xlfn.XLOOKUP($AA7,'Bilingual Names'!$L$5:$L$327,'Bilingual Names'!$K$5:$K$327,"")</x:f>
        <x:v>APPROVED</x:v>
      </x:c>
      <x:c r="K7" s="4" t="s">
        <x:v>96</x:v>
      </x:c>
      <x:c r="L7" s="4" t="s">
        <x:v>97</x:v>
      </x:c>
      <x:c r="M7" s="4" t="s">
        <x:v>231</x:v>
      </x:c>
      <x:c r="N7" s="6" t="s">
        <x:v>232</x:v>
      </x:c>
      <x:c r="O7" s="6" t="s">
        <x:v>233</x:v>
      </x:c>
      <x:c r="P7" s="6" t="s">
        <x:v>225</x:v>
      </x:c>
      <x:c r="Q7" s="6" t="s">
        <x:v>234</x:v>
      </x:c>
      <x:c r="R7" s="6" t="s">
        <x:v>235</x:v>
      </x:c>
      <x:c r="S7" s="5" t="s">
        <x:v>236</x:v>
      </x:c>
      <x:c r="T7" s="6" t="str">
        <x:v>Jeskai Lessons survived the Gran-Gran ban and won two events. This list uses Artist's Talent to restore some of the explosiveness lost with Gran-Gran.</x:v>
      </x:c>
      <x:c r="U7" s="4" t="s">
        <x:v>237</x:v>
      </x:c>
      <x:c r="V7" s="4" t="s">
        <x:v>238</x:v>
      </x:c>
      <x:c r="W7" s="7" t="str">
        <x:f t="shared" si="0">IF(A7&lt;&gt;"KEEP","NOT SELECTED",IF(OR(D7="",N7="",O7="",P7="",Q7="",R7=""),"NEEDS INPUT","READY"))</x:f>
        <x:v>READY</x:v>
      </x:c>
      <x:c r="X7" s="7" t="str">
        <x:f t="shared" si="1">IF(A7&lt;&gt;"KEEP","NOT SELECTED",IF(S7="","NEEDS P12-15C DRAFT",IF(T7="","NEEDS OWNER REVIEW","READY")))</x:f>
        <x:v>READY</x:v>
      </x:c>
      <x:c r="Y7" s="4" t="s">
        <x:v>239</x:v>
      </x:c>
      <x:c r="Z7" s="4"/>
      <x:c r="AA7" s="4" t="s">
        <x:v>240</x:v>
      </x:c>
    </x:row>
    <x:row r="8" ht="69" customHeight="1">
      <x:c r="A8" s="6" t="s">
        <x:v>38</x:v>
      </x:c>
      <x:c r="B8" s="4" t="s">
        <x:v>13</x:v>
      </x:c>
      <x:c r="C8" s="4" t="s">
        <x:v>9</x:v>
      </x:c>
      <x:c r="D8" s="6" t="s">
        <x:v>212</x:v>
      </x:c>
      <x:c r="E8" s="4" t="s">
        <x:v>101</x:v>
      </x:c>
      <x:c r="F8" s="4" t="s">
        <x:v>102</x:v>
      </x:c>
      <x:c r="G8" s="4">
        <x:v>1</x:v>
      </x:c>
      <x:c r="H8" s="4" t="str">
        <x:f>_xlfn.XLOOKUP($AA8,'Bilingual Names'!$L$5:$L$327,'Bilingual Names'!$F$5:$F$327,"")</x:f>
        <x:v>Mono-Green Landfall</x:v>
      </x:c>
      <x:c r="I8" s="4" t="str">
        <x:f>_xlfn.XLOOKUP($AA8,'Bilingual Names'!$L$5:$L$327,'Bilingual Names'!$J$5:$J$327,"")</x:f>
        <x:v>纯绿地落</x:v>
      </x:c>
      <x:c r="J8" s="7" t="str">
        <x:f>_xlfn.XLOOKUP($AA8,'Bilingual Names'!$L$5:$L$327,'Bilingual Names'!$K$5:$K$327,"")</x:f>
        <x:v>APPROVED</x:v>
      </x:c>
      <x:c r="K8" s="4" t="s">
        <x:v>104</x:v>
      </x:c>
      <x:c r="L8" s="4" t="s">
        <x:v>105</x:v>
      </x:c>
      <x:c r="M8" s="4" t="s">
        <x:v>231</x:v>
      </x:c>
      <x:c r="N8" s="6" t="s">
        <x:v>241</x:v>
      </x:c>
      <x:c r="O8" s="6" t="s">
        <x:v>242</x:v>
      </x:c>
      <x:c r="P8" s="6" t="s">
        <x:v>243</x:v>
      </x:c>
      <x:c r="Q8" s="6" t="s">
        <x:v>244</x:v>
      </x:c>
      <x:c r="R8" s="6" t="s">
        <x:v>245</x:v>
      </x:c>
      <x:c r="S8" s="5" t="s">
        <x:v>246</x:v>
      </x:c>
      <x:c r="T8" s="6" t="str">
        <x:v>One of the post-ban Mono-Green Landfall winners, using Mole Man, Moloid Master and Bristly Bill, Spine Sower to fill the slots left by Badgermole Cub.</x:v>
      </x:c>
      <x:c r="U8" s="4" t="s">
        <x:v>247</x:v>
      </x:c>
      <x:c r="V8" s="4" t="s">
        <x:v>248</x:v>
      </x:c>
      <x:c r="W8" s="7" t="str">
        <x:f t="shared" si="0">IF(A8&lt;&gt;"KEEP","NOT SELECTED",IF(OR(D8="",N8="",O8="",P8="",Q8="",R8=""),"NEEDS INPUT","READY"))</x:f>
        <x:v>READY</x:v>
      </x:c>
      <x:c r="X8" s="7" t="str">
        <x:f t="shared" si="1">IF(A8&lt;&gt;"KEEP","NOT SELECTED",IF(S8="","NEEDS P12-15C DRAFT",IF(T8="","NEEDS OWNER REVIEW","READY")))</x:f>
        <x:v>READY</x:v>
      </x:c>
      <x:c r="Y8" s="4" t="s">
        <x:v>249</x:v>
      </x:c>
      <x:c r="Z8" s="4"/>
      <x:c r="AA8" s="4" t="s">
        <x:v>250</x:v>
      </x:c>
    </x:row>
    <x:row r="9" ht="69" customHeight="1">
      <x:c r="A9" s="6" t="s">
        <x:v>38</x:v>
      </x:c>
      <x:c r="B9" s="4" t="s">
        <x:v>13</x:v>
      </x:c>
      <x:c r="C9" s="4" t="s">
        <x:v>9</x:v>
      </x:c>
      <x:c r="D9" s="6" t="s">
        <x:v>212</x:v>
      </x:c>
      <x:c r="E9" s="4" t="s">
        <x:v>109</x:v>
      </x:c>
      <x:c r="F9" s="4" t="s">
        <x:v>110</x:v>
      </x:c>
      <x:c r="G9" s="4">
        <x:v>1</x:v>
      </x:c>
      <x:c r="H9" s="4" t="str">
        <x:f>_xlfn.XLOOKUP($AA9,'Bilingual Names'!$L$5:$L$327,'Bilingual Names'!$F$5:$F$327,"")</x:f>
        <x:v>Mono-Green Landfall</x:v>
      </x:c>
      <x:c r="I9" s="4" t="str">
        <x:f>_xlfn.XLOOKUP($AA9,'Bilingual Names'!$L$5:$L$327,'Bilingual Names'!$J$5:$J$327,"")</x:f>
        <x:v>纯绿地落</x:v>
      </x:c>
      <x:c r="J9" s="7" t="str">
        <x:f>_xlfn.XLOOKUP($AA9,'Bilingual Names'!$L$5:$L$327,'Bilingual Names'!$K$5:$K$327,"")</x:f>
        <x:v>APPROVED</x:v>
      </x:c>
      <x:c r="K9" s="4" t="s">
        <x:v>111</x:v>
      </x:c>
      <x:c r="L9" s="4" t="s">
        <x:v>112</x:v>
      </x:c>
      <x:c r="M9" s="4" t="s">
        <x:v>231</x:v>
      </x:c>
      <x:c r="N9" s="8" t="s">
        <x:v>251</x:v>
      </x:c>
      <x:c r="O9" s="6" t="s">
        <x:v>252</x:v>
      </x:c>
      <x:c r="P9" s="6" t="s">
        <x:v>253</x:v>
      </x:c>
      <x:c r="Q9" s="6" t="s">
        <x:v>244</x:v>
      </x:c>
      <x:c r="R9" s="6" t="s">
        <x:v>245</x:v>
      </x:c>
      <x:c r="S9" s="5" t="s">
        <x:v>254</x:v>
      </x:c>
      <x:c r="T9" s="6" t="str">
        <x:v>Another post-ban Mono-Green Landfall winner, using the two-mana ramp spell Shared Roots and Keen-Eyed Curator to fill the slots left by Badgermole Cub.</x:v>
      </x:c>
      <x:c r="U9" s="4" t="s">
        <x:v>255</x:v>
      </x:c>
      <x:c r="V9" s="4" t="s">
        <x:v>256</x:v>
      </x:c>
      <x:c r="W9" s="7" t="str">
        <x:f t="shared" si="0">IF(A9&lt;&gt;"KEEP","NOT SELECTED",IF(OR(D9="",N9="",O9="",P9="",Q9="",R9=""),"NEEDS INPUT","READY"))</x:f>
        <x:v>READY</x:v>
      </x:c>
      <x:c r="X9" s="7" t="str">
        <x:f t="shared" si="1">IF(A9&lt;&gt;"KEEP","NOT SELECTED",IF(S9="","NEEDS P12-15C DRAFT",IF(T9="","NEEDS OWNER REVIEW","READY")))</x:f>
        <x:v>READY</x:v>
      </x:c>
      <x:c r="Y9" s="4" t="s">
        <x:v>249</x:v>
      </x:c>
      <x:c r="Z9" s="4"/>
      <x:c r="AA9" s="4" t="s">
        <x:v>250</x:v>
      </x:c>
    </x:row>
    <x:row r="10" ht="69" customHeight="1">
      <x:c r="A10" s="6" t="s">
        <x:v>38</x:v>
      </x:c>
      <x:c r="B10" s="4" t="s">
        <x:v>13</x:v>
      </x:c>
      <x:c r="C10" s="4" t="s">
        <x:v>9</x:v>
      </x:c>
      <x:c r="D10" s="6" t="s">
        <x:v>212</x:v>
      </x:c>
      <x:c r="E10" s="4" t="s">
        <x:v>116</x:v>
      </x:c>
      <x:c r="F10" s="4" t="s">
        <x:v>117</x:v>
      </x:c>
      <x:c r="G10" s="4">
        <x:v>1</x:v>
      </x:c>
      <x:c r="H10" s="4" t="str">
        <x:f>_xlfn.XLOOKUP($AA10,'Bilingual Names'!$L$5:$L$327,'Bilingual Names'!$F$5:$F$327,"")</x:f>
        <x:v>Dimir Midrange</x:v>
      </x:c>
      <x:c r="I10" s="4" t="str">
        <x:f>_xlfn.XLOOKUP($AA10,'Bilingual Names'!$L$5:$L$327,'Bilingual Names'!$J$5:$J$327,"")</x:f>
        <x:v>蓝黑中速</x:v>
      </x:c>
      <x:c r="J10" s="7" t="str">
        <x:f>_xlfn.XLOOKUP($AA10,'Bilingual Names'!$L$5:$L$327,'Bilingual Names'!$K$5:$K$327,"")</x:f>
        <x:v>APPROVED</x:v>
      </x:c>
      <x:c r="K10" s="4" t="s">
        <x:v>119</x:v>
      </x:c>
      <x:c r="L10" s="4" t="s">
        <x:v>120</x:v>
      </x:c>
      <x:c r="M10" s="4" t="s">
        <x:v>257</x:v>
      </x:c>
      <x:c r="N10" s="8" t="s">
        <x:v>258</x:v>
      </x:c>
      <x:c r="O10" s="6" t="s">
        <x:v>259</x:v>
      </x:c>
      <x:c r="P10" s="6" t="s">
        <x:v>260</x:v>
      </x:c>
      <x:c r="Q10" s="6" t="s">
        <x:v>261</x:v>
      </x:c>
      <x:c r="R10" s="6" t="s">
        <x:v>262</x:v>
      </x:c>
      <x:c r="S10" s="5" t="s">
        <x:v>263</x:v>
      </x:c>
      <x:c r="T10" s="6" t="str">
        <x:v>Dimir Midrange returned to the top of the metagame after the bans.</x:v>
      </x:c>
      <x:c r="U10" s="4" t="s">
        <x:v>264</x:v>
      </x:c>
      <x:c r="V10" s="4" t="s">
        <x:v>265</x:v>
      </x:c>
      <x:c r="W10" s="7" t="str">
        <x:f t="shared" si="0">IF(A10&lt;&gt;"KEEP","NOT SELECTED",IF(OR(D10="",N10="",O10="",P10="",Q10="",R10=""),"NEEDS INPUT","READY"))</x:f>
        <x:v>READY</x:v>
      </x:c>
      <x:c r="X10" s="7" t="str">
        <x:f t="shared" si="1">IF(A10&lt;&gt;"KEEP","NOT SELECTED",IF(S10="","NEEDS P12-15C DRAFT",IF(T10="","NEEDS OWNER REVIEW","READY")))</x:f>
        <x:v>READY</x:v>
      </x:c>
      <x:c r="Y10" s="4" t="s">
        <x:v>266</x:v>
      </x:c>
      <x:c r="Z10" s="4"/>
      <x:c r="AA10" s="4" t="s">
        <x:v>267</x:v>
      </x:c>
    </x:row>
    <x:row r="11" ht="69" customHeight="1">
      <x:c r="A11" s="6" t="s">
        <x:v>38</x:v>
      </x:c>
      <x:c r="B11" s="4" t="s">
        <x:v>13</x:v>
      </x:c>
      <x:c r="C11" s="4" t="s">
        <x:v>9</x:v>
      </x:c>
      <x:c r="D11" s="6" t="s">
        <x:v>212</x:v>
      </x:c>
      <x:c r="E11" s="4" t="s">
        <x:v>86</x:v>
      </x:c>
      <x:c r="F11" s="4" t="s">
        <x:v>87</x:v>
      </x:c>
      <x:c r="G11" s="4">
        <x:v>5</x:v>
      </x:c>
      <x:c r="H11" s="4" t="str">
        <x:f>_xlfn.XLOOKUP($AA11,'Bilingual Names'!$L$5:$L$327,'Bilingual Names'!$F$5:$F$327,"")</x:f>
        <x:v>Dimir Midrange</x:v>
      </x:c>
      <x:c r="I11" s="4" t="str">
        <x:f>_xlfn.XLOOKUP($AA11,'Bilingual Names'!$L$5:$L$327,'Bilingual Names'!$J$5:$J$327,"")</x:f>
        <x:v>蓝黑中速</x:v>
      </x:c>
      <x:c r="J11" s="7" t="str">
        <x:f>_xlfn.XLOOKUP($AA11,'Bilingual Names'!$L$5:$L$327,'Bilingual Names'!$K$5:$K$327,"")</x:f>
        <x:v>APPROVED</x:v>
      </x:c>
      <x:c r="K11" s="4" t="s">
        <x:v>124</x:v>
      </x:c>
      <x:c r="L11" s="4" t="s">
        <x:v>125</x:v>
      </x:c>
      <x:c r="M11" s="4" t="s">
        <x:v>268</x:v>
      </x:c>
      <x:c r="N11" s="6" t="s">
        <x:v>269</x:v>
      </x:c>
      <x:c r="O11" s="6" t="s">
        <x:v>270</x:v>
      </x:c>
      <x:c r="P11" s="6" t="s">
        <x:v>271</x:v>
      </x:c>
      <x:c r="Q11" s="6" t="s">
        <x:v>262</x:v>
      </x:c>
      <x:c r="R11" s="6" t="s">
        <x:v>272</x:v>
      </x:c>
      <x:c r="S11" s="5" t="s">
        <x:v>273</x:v>
      </x:c>
      <x:c r="T11" s="6" t="str">
        <x:v>A Dimir Midrange build with a full set of The Sackville-Bagginses, paired with Infestation Sage.</x:v>
      </x:c>
      <x:c r="U11" s="4" t="s">
        <x:v>274</x:v>
      </x:c>
      <x:c r="V11" s="4" t="s">
        <x:v>275</x:v>
      </x:c>
      <x:c r="W11" s="7" t="str">
        <x:f t="shared" si="0">IF(A11&lt;&gt;"KEEP","NOT SELECTED",IF(OR(D11="",N11="",O11="",P11="",Q11="",R11=""),"NEEDS INPUT","READY"))</x:f>
        <x:v>READY</x:v>
      </x:c>
      <x:c r="X11" s="7" t="str">
        <x:f t="shared" si="1">IF(A11&lt;&gt;"KEEP","NOT SELECTED",IF(S11="","NEEDS P12-15C DRAFT",IF(T11="","NEEDS OWNER REVIEW","READY")))</x:f>
        <x:v>READY</x:v>
      </x:c>
      <x:c r="Y11" s="4" t="s">
        <x:v>266</x:v>
      </x:c>
      <x:c r="Z11" s="4"/>
      <x:c r="AA11" s="4" t="s">
        <x:v>267</x:v>
      </x:c>
    </x:row>
    <x:row r="12" ht="69" customHeight="1">
      <x:c r="A12" s="6" t="s">
        <x:v>38</x:v>
      </x:c>
      <x:c r="B12" s="4" t="s">
        <x:v>13</x:v>
      </x:c>
      <x:c r="C12" s="4" t="s">
        <x:v>9</x:v>
      </x:c>
      <x:c r="D12" s="6" t="s">
        <x:v>212</x:v>
      </x:c>
      <x:c r="E12" s="4" t="s">
        <x:v>129</x:v>
      </x:c>
      <x:c r="F12" s="4" t="s">
        <x:v>117</x:v>
      </x:c>
      <x:c r="G12" s="4">
        <x:v>1</x:v>
      </x:c>
      <x:c r="H12" s="4" t="str">
        <x:f>_xlfn.XLOOKUP($AA12,'Bilingual Names'!$L$5:$L$327,'Bilingual Names'!$F$5:$F$327,"")</x:f>
        <x:v>Orzhov Lifegain</x:v>
      </x:c>
      <x:c r="I12" s="4" t="str">
        <x:f>_xlfn.XLOOKUP($AA12,'Bilingual Names'!$L$5:$L$327,'Bilingual Names'!$J$5:$J$327,"")</x:f>
        <x:v>黑白回血</x:v>
      </x:c>
      <x:c r="J12" s="7" t="str">
        <x:f>_xlfn.XLOOKUP($AA12,'Bilingual Names'!$L$5:$L$327,'Bilingual Names'!$K$5:$K$327,"")</x:f>
        <x:v>APPROVED</x:v>
      </x:c>
      <x:c r="K12" s="4" t="s">
        <x:v>131</x:v>
      </x:c>
      <x:c r="L12" s="4" t="s">
        <x:v>132</x:v>
      </x:c>
      <x:c r="M12" s="4" t="s">
        <x:v>276</x:v>
      </x:c>
      <x:c r="N12" s="6" t="s">
        <x:v>277</x:v>
      </x:c>
      <x:c r="O12" s="6" t="s">
        <x:v>278</x:v>
      </x:c>
      <x:c r="P12" s="6" t="s">
        <x:v>279</x:v>
      </x:c>
      <x:c r="Q12" s="6" t="s">
        <x:v>280</x:v>
      </x:c>
      <x:c r="R12" s="6" t="s">
        <x:v>281</x:v>
      </x:c>
      <x:c r="S12" s="5" t="s">
        <x:v>282</x:v>
      </x:c>
      <x:c r="T12" s="6" t="str">
        <x:v>A different Orzhov Lifegain build featuring a full set of Raise the Past; it won an event this week.</x:v>
      </x:c>
      <x:c r="U12" s="4" t="s">
        <x:v>283</x:v>
      </x:c>
      <x:c r="V12" s="4" t="s">
        <x:v>284</x:v>
      </x:c>
      <x:c r="W12" s="7" t="str">
        <x:f t="shared" si="0">IF(A12&lt;&gt;"KEEP","NOT SELECTED",IF(OR(D12="",N12="",O12="",P12="",Q12="",R12=""),"NEEDS INPUT","READY"))</x:f>
        <x:v>READY</x:v>
      </x:c>
      <x:c r="X12" s="7" t="str">
        <x:f t="shared" si="1">IF(A12&lt;&gt;"KEEP","NOT SELECTED",IF(S12="","NEEDS P12-15C DRAFT",IF(T12="","NEEDS OWNER REVIEW","READY")))</x:f>
        <x:v>READY</x:v>
      </x:c>
      <x:c r="Y12" s="4" t="s">
        <x:v>285</x:v>
      </x:c>
      <x:c r="Z12" s="4"/>
      <x:c r="AA12" s="4" t="s">
        <x:v>286</x:v>
      </x:c>
    </x:row>
    <x:row r="13" ht="69" customHeight="1">
      <x:c r="A13" s="6" t="s">
        <x:v>38</x:v>
      </x:c>
      <x:c r="B13" s="4" t="s">
        <x:v>13</x:v>
      </x:c>
      <x:c r="C13" s="4" t="s">
        <x:v>9</x:v>
      </x:c>
      <x:c r="D13" s="6" t="s">
        <x:v>212</x:v>
      </x:c>
      <x:c r="E13" s="4" t="s">
        <x:v>129</x:v>
      </x:c>
      <x:c r="F13" s="4" t="s">
        <x:v>117</x:v>
      </x:c>
      <x:c r="G13" s="4">
        <x:v>3</x:v>
      </x:c>
      <x:c r="H13" s="4" t="str">
        <x:f>_xlfn.XLOOKUP($AA13,'Bilingual Names'!$L$5:$L$327,'Bilingual Names'!$F$5:$F$327,"")</x:f>
        <x:v>Boros Dragons</x:v>
      </x:c>
      <x:c r="I13" s="4" t="str">
        <x:f>_xlfn.XLOOKUP($AA13,'Bilingual Names'!$L$5:$L$327,'Bilingual Names'!$J$5:$J$327,"")</x:f>
        <x:v>红白龙</x:v>
      </x:c>
      <x:c r="J13" s="7" t="str">
        <x:f>_xlfn.XLOOKUP($AA13,'Bilingual Names'!$L$5:$L$327,'Bilingual Names'!$K$5:$K$327,"")</x:f>
        <x:v>APPROVED</x:v>
      </x:c>
      <x:c r="K13" s="4" t="s">
        <x:v>137</x:v>
      </x:c>
      <x:c r="L13" s="4" t="s">
        <x:v>138</x:v>
      </x:c>
      <x:c r="M13" s="4" t="s">
        <x:v>287</x:v>
      </x:c>
      <x:c r="N13" s="8" t="s">
        <x:v>288</x:v>
      </x:c>
      <x:c r="O13" s="6" t="s">
        <x:v>289</x:v>
      </x:c>
      <x:c r="P13" s="6" t="s">
        <x:v>290</x:v>
      </x:c>
      <x:c r="Q13" s="6" t="s">
        <x:v>291</x:v>
      </x:c>
      <x:c r="R13" s="6" t="s">
        <x:v>292</x:v>
      </x:c>
      <x:c r="S13" s="5" t="s">
        <x:v>293</x:v>
      </x:c>
      <x:c r="T13" s="6" t="str">
        <x:v>Boros Dragons returned after the bans, now with Smaug the Magnificent.</x:v>
      </x:c>
      <x:c r="U13" s="4" t="s">
        <x:v>294</x:v>
      </x:c>
      <x:c r="V13" s="4" t="s">
        <x:v>295</x:v>
      </x:c>
      <x:c r="W13" s="7" t="str">
        <x:f t="shared" si="0">IF(A13&lt;&gt;"KEEP","NOT SELECTED",IF(OR(D13="",N13="",O13="",P13="",Q13="",R13=""),"NEEDS INPUT","READY"))</x:f>
        <x:v>READY</x:v>
      </x:c>
      <x:c r="X13" s="7" t="str">
        <x:f t="shared" si="1">IF(A13&lt;&gt;"KEEP","NOT SELECTED",IF(S13="","NEEDS P12-15C DRAFT",IF(T13="","NEEDS OWNER REVIEW","READY")))</x:f>
        <x:v>READY</x:v>
      </x:c>
      <x:c r="Y13" s="4" t="s">
        <x:v>296</x:v>
      </x:c>
      <x:c r="Z13" s="4"/>
      <x:c r="AA13" s="4" t="s">
        <x:v>297</x:v>
      </x:c>
    </x:row>
    <x:row r="14" ht="69" customHeight="1">
      <x:c r="A14" s="6" t="s">
        <x:v>38</x:v>
      </x:c>
      <x:c r="B14" s="4" t="s">
        <x:v>13</x:v>
      </x:c>
      <x:c r="C14" s="4" t="s">
        <x:v>9</x:v>
      </x:c>
      <x:c r="D14" s="6" t="s">
        <x:v>212</x:v>
      </x:c>
      <x:c r="E14" s="4" t="s">
        <x:v>129</x:v>
      </x:c>
      <x:c r="F14" s="4" t="s">
        <x:v>117</x:v>
      </x:c>
      <x:c r="G14" s="4">
        <x:v>5</x:v>
      </x:c>
      <x:c r="H14" s="4" t="str">
        <x:f>_xlfn.XLOOKUP($AA14,'Bilingual Names'!$L$5:$L$327,'Bilingual Names'!$F$5:$F$327,"")</x:f>
        <x:v>Mono-Red Dragons</x:v>
      </x:c>
      <x:c r="I14" s="4" t="str">
        <x:f>_xlfn.XLOOKUP($AA14,'Bilingual Names'!$L$5:$L$327,'Bilingual Names'!$J$5:$J$327,"")</x:f>
        <x:v>纯红龙</x:v>
      </x:c>
      <x:c r="J14" s="7" t="str">
        <x:f>_xlfn.XLOOKUP($AA14,'Bilingual Names'!$L$5:$L$327,'Bilingual Names'!$K$5:$K$327,"")</x:f>
        <x:v>APPROVED</x:v>
      </x:c>
      <x:c r="K14" s="4" t="s">
        <x:v>143</x:v>
      </x:c>
      <x:c r="L14" s="4" t="s">
        <x:v>144</x:v>
      </x:c>
      <x:c r="M14" s="4" t="s">
        <x:v>298</x:v>
      </x:c>
      <x:c r="N14" s="6" t="s">
        <x:v>299</x:v>
      </x:c>
      <x:c r="O14" s="6" t="s">
        <x:v>289</x:v>
      </x:c>
      <x:c r="P14" s="6" t="s">
        <x:v>290</x:v>
      </x:c>
      <x:c r="Q14" s="6" t="s">
        <x:v>300</x:v>
      </x:c>
      <x:c r="R14" s="6" t="s">
        <x:v>292</x:v>
      </x:c>
      <x:c r="S14" s="5" t="s">
        <x:v>301</x:v>
      </x:c>
      <x:c r="T14" s="6" t="str">
        <x:v>Mono-Red Dragons, an archetype that had briefly appeared earlier in the format, returned with Smaug the Magnificent and posted several Top 8 finishes this week.</x:v>
      </x:c>
      <x:c r="U14" s="4" t="s">
        <x:v>302</x:v>
      </x:c>
      <x:c r="V14" s="4" t="s">
        <x:v>303</x:v>
      </x:c>
      <x:c r="W14" s="7" t="str">
        <x:f t="shared" si="0">IF(A14&lt;&gt;"KEEP","NOT SELECTED",IF(OR(D14="",N14="",O14="",P14="",Q14="",R14=""),"NEEDS INPUT","READY"))</x:f>
        <x:v>READY</x:v>
      </x:c>
      <x:c r="X14" s="7" t="str">
        <x:f t="shared" si="1">IF(A14&lt;&gt;"KEEP","NOT SELECTED",IF(S14="","NEEDS P12-15C DRAFT",IF(T14="","NEEDS OWNER REVIEW","READY")))</x:f>
        <x:v>READY</x:v>
      </x:c>
      <x:c r="Y14" s="4" t="s">
        <x:v>304</x:v>
      </x:c>
      <x:c r="Z14" s="4"/>
      <x:c r="AA14" s="4" t="s">
        <x:v>305</x:v>
      </x:c>
    </x:row>
    <x:row r="15" ht="69" customHeight="1">
      <x:c r="A15" s="6" t="s">
        <x:v>38</x:v>
      </x:c>
      <x:c r="B15" s="4" t="s">
        <x:v>13</x:v>
      </x:c>
      <x:c r="C15" s="4" t="s">
        <x:v>9</x:v>
      </x:c>
      <x:c r="D15" s="6" t="s">
        <x:v>212</x:v>
      </x:c>
      <x:c r="E15" s="4" t="s">
        <x:v>148</x:v>
      </x:c>
      <x:c r="F15" s="4" t="s">
        <x:v>149</x:v>
      </x:c>
      <x:c r="G15" s="4">
        <x:v>2</x:v>
      </x:c>
      <x:c r="H15" s="4" t="str">
        <x:f>_xlfn.XLOOKUP($AA15,'Bilingual Names'!$L$5:$L$327,'Bilingual Names'!$F$5:$F$327,"")</x:f>
        <x:v>Five-Color Humans</x:v>
      </x:c>
      <x:c r="I15" s="4" t="str">
        <x:f>_xlfn.XLOOKUP($AA15,'Bilingual Names'!$L$5:$L$327,'Bilingual Names'!$J$5:$J$327,"")</x:f>
        <x:v>五色人类</x:v>
      </x:c>
      <x:c r="J15" s="7" t="str">
        <x:f>_xlfn.XLOOKUP($AA15,'Bilingual Names'!$L$5:$L$327,'Bilingual Names'!$K$5:$K$327,"")</x:f>
        <x:v>APPROVED</x:v>
      </x:c>
      <x:c r="K15" s="4" t="s">
        <x:v>151</x:v>
      </x:c>
      <x:c r="L15" s="4" t="s">
        <x:v>152</x:v>
      </x:c>
      <x:c r="M15" s="4" t="s">
        <x:v>306</x:v>
      </x:c>
      <x:c r="N15" s="6" t="s">
        <x:v>307</x:v>
      </x:c>
      <x:c r="O15" s="6" t="s">
        <x:v>308</x:v>
      </x:c>
      <x:c r="P15" s="6" t="s">
        <x:v>309</x:v>
      </x:c>
      <x:c r="Q15" s="6" t="s">
        <x:v>310</x:v>
      </x:c>
      <x:c r="R15" s="6" t="s">
        <x:v>311</x:v>
      </x:c>
      <x:c r="S15" s="5" t="s">
        <x:v>312</x:v>
      </x:c>
      <x:c r="T15" s="6" t="str">
        <x:v>A Five-Color Humans list featuring the new card Key to the Side-Door.</x:v>
      </x:c>
      <x:c r="U15" s="4" t="s">
        <x:v>313</x:v>
      </x:c>
      <x:c r="V15" s="4" t="s">
        <x:v>314</x:v>
      </x:c>
      <x:c r="W15" s="7" t="str">
        <x:f t="shared" si="0">IF(A15&lt;&gt;"KEEP","NOT SELECTED",IF(OR(D15="",N15="",O15="",P15="",Q15="",R15=""),"NEEDS INPUT","READY"))</x:f>
        <x:v>READY</x:v>
      </x:c>
      <x:c r="X15" s="7" t="str">
        <x:f t="shared" si="1">IF(A15&lt;&gt;"KEEP","NOT SELECTED",IF(S15="","NEEDS P12-15C DRAFT",IF(T15="","NEEDS OWNER REVIEW","READY")))</x:f>
        <x:v>READY</x:v>
      </x:c>
      <x:c r="Y15" s="4" t="s">
        <x:v>315</x:v>
      </x:c>
      <x:c r="Z15" s="4"/>
      <x:c r="AA15" s="4" t="s">
        <x:v>316</x:v>
      </x:c>
    </x:row>
    <x:row r="16" ht="69" customHeight="1">
      <x:c r="A16" s="6" t="s">
        <x:v>38</x:v>
      </x:c>
      <x:c r="B16" s="4" t="s">
        <x:v>13</x:v>
      </x:c>
      <x:c r="C16" s="4" t="s">
        <x:v>9</x:v>
      </x:c>
      <x:c r="D16" s="6" t="s">
        <x:v>212</x:v>
      </x:c>
      <x:c r="E16" s="4" t="s">
        <x:v>129</x:v>
      </x:c>
      <x:c r="F16" s="4" t="s">
        <x:v>117</x:v>
      </x:c>
      <x:c r="G16" s="4">
        <x:v>7</x:v>
      </x:c>
      <x:c r="H16" s="4" t="str">
        <x:f>_xlfn.XLOOKUP($AA16,'Bilingual Names'!$L$5:$L$327,'Bilingual Names'!$F$5:$F$327,"")</x:f>
        <x:v>Azorius Oculus</x:v>
      </x:c>
      <x:c r="I16" s="4" t="str">
        <x:f>_xlfn.XLOOKUP($AA16,'Bilingual Names'!$L$5:$L$327,'Bilingual Names'!$J$5:$J$327,"")</x:f>
        <x:v>蓝白救援</x:v>
      </x:c>
      <x:c r="J16" s="7" t="str">
        <x:f>_xlfn.XLOOKUP($AA16,'Bilingual Names'!$L$5:$L$327,'Bilingual Names'!$K$5:$K$327,"")</x:f>
        <x:v>APPROVED</x:v>
      </x:c>
      <x:c r="K16" s="4" t="s">
        <x:v>157</x:v>
      </x:c>
      <x:c r="L16" s="4" t="s">
        <x:v>158</x:v>
      </x:c>
      <x:c r="M16" s="4" t="s">
        <x:v>298</x:v>
      </x:c>
      <x:c r="N16" s="6" t="s">
        <x:v>317</x:v>
      </x:c>
      <x:c r="O16" s="6" t="s">
        <x:v>318</x:v>
      </x:c>
      <x:c r="P16" s="6" t="s">
        <x:v>319</x:v>
      </x:c>
      <x:c r="Q16" s="6" t="s">
        <x:v>320</x:v>
      </x:c>
      <x:c r="R16" s="6" t="s">
        <x:v>321</x:v>
      </x:c>
      <x:c r="S16" s="5" t="s">
        <x:v>322</x:v>
      </x:c>
      <x:c r="T16" s="6" t="str">
        <x:v>A former Helping Hand/Oculus shell returned this week with the HOB cards Most Decrepit Old Bird and The Eagles Are Coming!</x:v>
      </x:c>
      <x:c r="U16" s="4" t="s">
        <x:v>323</x:v>
      </x:c>
      <x:c r="V16" s="4" t="s">
        <x:v>324</x:v>
      </x:c>
      <x:c r="W16" s="7" t="str">
        <x:f t="shared" si="0">IF(A16&lt;&gt;"KEEP","NOT SELECTED",IF(OR(D16="",N16="",O16="",P16="",Q16="",R16=""),"NEEDS INPUT","READY"))</x:f>
        <x:v>READY</x:v>
      </x:c>
      <x:c r="X16" s="7" t="str">
        <x:f t="shared" si="1">IF(A16&lt;&gt;"KEEP","NOT SELECTED",IF(S16="","NEEDS P12-15C DRAFT",IF(T16="","NEEDS OWNER REVIEW","READY")))</x:f>
        <x:v>READY</x:v>
      </x:c>
      <x:c r="Y16" s="4" t="s">
        <x:v>325</x:v>
      </x:c>
      <x:c r="Z16" s="4"/>
      <x:c r="AA16" s="4" t="s">
        <x:v>326</x:v>
      </x:c>
    </x:row>
    <x:row r="17" ht="69" customHeight="1">
      <x:c r="A17" s="6" t="s">
        <x:v>38</x:v>
      </x:c>
      <x:c r="B17" s="4" t="s">
        <x:v>13</x:v>
      </x:c>
      <x:c r="C17" s="4" t="s">
        <x:v>9</x:v>
      </x:c>
      <x:c r="D17" s="6" t="s">
        <x:v>212</x:v>
      </x:c>
      <x:c r="E17" s="4" t="s">
        <x:v>148</x:v>
      </x:c>
      <x:c r="F17" s="4" t="s">
        <x:v>149</x:v>
      </x:c>
      <x:c r="G17" s="4">
        <x:v>8</x:v>
      </x:c>
      <x:c r="H17" s="4" t="str">
        <x:f>_xlfn.XLOOKUP($AA17,'Bilingual Names'!$L$5:$L$327,'Bilingual Names'!$F$5:$F$327,"")</x:f>
        <x:v>Jeskai Tablet</x:v>
      </x:c>
      <x:c r="I17" s="4" t="str">
        <x:f>_xlfn.XLOOKUP($AA17,'Bilingual Names'!$L$5:$L$327,'Bilingual Names'!$J$5:$J$327,"")</x:f>
        <x:v>洁斯凯石板</x:v>
      </x:c>
      <x:c r="J17" s="7" t="str">
        <x:f>_xlfn.XLOOKUP($AA17,'Bilingual Names'!$L$5:$L$327,'Bilingual Names'!$K$5:$K$327,"")</x:f>
        <x:v>APPROVED</x:v>
      </x:c>
      <x:c r="K17" s="4" t="s">
        <x:v>163</x:v>
      </x:c>
      <x:c r="L17" s="4" t="s">
        <x:v>164</x:v>
      </x:c>
      <x:c r="M17" s="4" t="s">
        <x:v>306</x:v>
      </x:c>
      <x:c r="N17" s="8" t="s">
        <x:v>327</x:v>
      </x:c>
      <x:c r="O17" s="6" t="s">
        <x:v>225</x:v>
      </x:c>
      <x:c r="P17" s="6" t="s">
        <x:v>234</x:v>
      </x:c>
      <x:c r="Q17" s="6" t="s">
        <x:v>328</x:v>
      </x:c>
      <x:c r="R17" s="6" t="s">
        <x:v>329</x:v>
      </x:c>
      <x:c r="S17" s="5" t="s">
        <x:v>330</x:v>
      </x:c>
      <x:c r="T17" s="6" t="str">
        <x:v>A Jeskai Tablet list featuring the new card Plunder the Trollshaws.</x:v>
      </x:c>
      <x:c r="U17" s="4" t="s">
        <x:v>331</x:v>
      </x:c>
      <x:c r="V17" s="4" t="s">
        <x:v>332</x:v>
      </x:c>
      <x:c r="W17" s="7" t="str">
        <x:f t="shared" si="0">IF(A17&lt;&gt;"KEEP","NOT SELECTED",IF(OR(D17="",N17="",O17="",P17="",Q17="",R17=""),"NEEDS INPUT","READY"))</x:f>
        <x:v>READY</x:v>
      </x:c>
      <x:c r="X17" s="7" t="str">
        <x:f t="shared" si="1">IF(A17&lt;&gt;"KEEP","NOT SELECTED",IF(S17="","NEEDS P12-15C DRAFT",IF(T17="","NEEDS OWNER REVIEW","READY")))</x:f>
        <x:v>READY</x:v>
      </x:c>
      <x:c r="Y17" s="4" t="s">
        <x:v>333</x:v>
      </x:c>
      <x:c r="Z17" s="4"/>
      <x:c r="AA17" s="4" t="s">
        <x:v>334</x:v>
      </x:c>
    </x:row>
    <x:row r="18" ht="69" customHeight="1">
      <x:c r="A18" s="6" t="s">
        <x:v>38</x:v>
      </x:c>
      <x:c r="B18" s="4" t="s">
        <x:v>13</x:v>
      </x:c>
      <x:c r="C18" s="4" t="s">
        <x:v>9</x:v>
      </x:c>
      <x:c r="D18" s="6" t="s">
        <x:v>212</x:v>
      </x:c>
      <x:c r="E18" s="4" t="s">
        <x:v>109</x:v>
      </x:c>
      <x:c r="F18" s="4" t="s">
        <x:v>110</x:v>
      </x:c>
      <x:c r="G18" s="4">
        <x:v>6</x:v>
      </x:c>
      <x:c r="H18" s="4" t="str">
        <x:f>_xlfn.XLOOKUP($AA18,'Bilingual Names'!$L$5:$L$327,'Bilingual Names'!$F$5:$F$327,"")</x:f>
        <x:v>Jeskai Momo</x:v>
      </x:c>
      <x:c r="I18" s="4" t="str">
        <x:f>_xlfn.XLOOKUP($AA18,'Bilingual Names'!$L$5:$L$327,'Bilingual Names'!$J$5:$J$327,"")</x:f>
        <x:v>洁斯凯模模</x:v>
      </x:c>
      <x:c r="J18" s="7" t="str">
        <x:f>_xlfn.XLOOKUP($AA18,'Bilingual Names'!$L$5:$L$327,'Bilingual Names'!$K$5:$K$327,"")</x:f>
        <x:v>APPROVED</x:v>
      </x:c>
      <x:c r="K18" s="4" t="s">
        <x:v>169</x:v>
      </x:c>
      <x:c r="L18" s="4" t="s">
        <x:v>170</x:v>
      </x:c>
      <x:c r="M18" s="4" t="s">
        <x:v>306</x:v>
      </x:c>
      <x:c r="N18" s="6" t="s">
        <x:v>335</x:v>
      </x:c>
      <x:c r="O18" s="6" t="s">
        <x:v>336</x:v>
      </x:c>
      <x:c r="P18" s="6" t="s">
        <x:v>337</x:v>
      </x:c>
      <x:c r="Q18" s="6" t="s">
        <x:v>338</x:v>
      </x:c>
      <x:c r="R18" s="6" t="s">
        <x:v>339</x:v>
      </x:c>
      <x:c r="S18" s="5" t="s">
        <x:v>340</x:v>
      </x:c>
      <x:c r="T18" s="6" t="str">
        <x:v>A Jeskai Momo list featuring the new card The Lord of the Eagles.</x:v>
      </x:c>
      <x:c r="U18" s="4" t="s">
        <x:v>341</x:v>
      </x:c>
      <x:c r="V18" s="4" t="s">
        <x:v>342</x:v>
      </x:c>
      <x:c r="W18" s="7" t="str">
        <x:f t="shared" si="0">IF(A18&lt;&gt;"KEEP","NOT SELECTED",IF(OR(D18="",N18="",O18="",P18="",Q18="",R18=""),"NEEDS INPUT","READY"))</x:f>
        <x:v>READY</x:v>
      </x:c>
      <x:c r="X18" s="7" t="str">
        <x:f t="shared" si="1">IF(A18&lt;&gt;"KEEP","NOT SELECTED",IF(S18="","NEEDS P12-15C DRAFT",IF(T18="","NEEDS OWNER REVIEW","READY")))</x:f>
        <x:v>READY</x:v>
      </x:c>
      <x:c r="Y18" s="4" t="s">
        <x:v>343</x:v>
      </x:c>
      <x:c r="Z18" s="4"/>
      <x:c r="AA18" s="4" t="s">
        <x:v>344</x:v>
      </x:c>
    </x:row>
    <x:row r="19" ht="69" customHeight="1">
      <x:c r="A19" s="6" t="s">
        <x:v>38</x:v>
      </x:c>
      <x:c r="B19" s="4" t="s">
        <x:v>13</x:v>
      </x:c>
      <x:c r="C19" s="4" t="s">
        <x:v>9</x:v>
      </x:c>
      <x:c r="D19" s="6" t="s">
        <x:v>212</x:v>
      </x:c>
      <x:c r="E19" s="4" t="s">
        <x:v>148</x:v>
      </x:c>
      <x:c r="F19" s="4" t="s">
        <x:v>149</x:v>
      </x:c>
      <x:c r="G19" s="4">
        <x:v>7</x:v>
      </x:c>
      <x:c r="H19" s="4" t="str">
        <x:f>_xlfn.XLOOKUP($AA19,'Bilingual Names'!$L$5:$L$327,'Bilingual Names'!$F$5:$F$327,"")</x:f>
        <x:v>Selesnya Landfall</x:v>
      </x:c>
      <x:c r="I19" s="4" t="str">
        <x:f>_xlfn.XLOOKUP($AA19,'Bilingual Names'!$L$5:$L$327,'Bilingual Names'!$J$5:$J$327,"")</x:f>
        <x:v>白绿地落</x:v>
      </x:c>
      <x:c r="J19" s="7" t="str">
        <x:f>_xlfn.XLOOKUP($AA19,'Bilingual Names'!$L$5:$L$327,'Bilingual Names'!$K$5:$K$327,"")</x:f>
        <x:v>APPROVED</x:v>
      </x:c>
      <x:c r="K19" s="4" t="s">
        <x:v>175</x:v>
      </x:c>
      <x:c r="L19" s="4" t="s">
        <x:v>176</x:v>
      </x:c>
      <x:c r="M19" s="4" t="s">
        <x:v>345</x:v>
      </x:c>
      <x:c r="N19" s="6" t="s">
        <x:v>346</x:v>
      </x:c>
      <x:c r="O19" s="6" t="s">
        <x:v>347</x:v>
      </x:c>
      <x:c r="P19" s="6" t="s">
        <x:v>253</x:v>
      </x:c>
      <x:c r="Q19" s="6" t="s">
        <x:v>243</x:v>
      </x:c>
      <x:c r="R19" s="6" t="s">
        <x:v>252</x:v>
      </x:c>
      <x:c r="S19" s="5" t="s">
        <x:v>348</x:v>
      </x:c>
      <x:c r="T19" s="6" t="str">
        <x:v>Selesnya Landfall had a small presence this week, but this list used new components similar to the Mono-Green builds.</x:v>
      </x:c>
      <x:c r="U19" s="4" t="s">
        <x:v>349</x:v>
      </x:c>
      <x:c r="V19" s="4" t="s">
        <x:v>350</x:v>
      </x:c>
      <x:c r="W19" s="7" t="str">
        <x:f t="shared" si="0">IF(A19&lt;&gt;"KEEP","NOT SELECTED",IF(OR(D19="",N19="",O19="",P19="",Q19="",R19=""),"NEEDS INPUT","READY"))</x:f>
        <x:v>READY</x:v>
      </x:c>
      <x:c r="X19" s="7" t="str">
        <x:f t="shared" si="1">IF(A19&lt;&gt;"KEEP","NOT SELECTED",IF(S19="","NEEDS P12-15C DRAFT",IF(T19="","NEEDS OWNER REVIEW","READY")))</x:f>
        <x:v>READY</x:v>
      </x:c>
      <x:c r="Y19" s="4" t="s">
        <x:v>351</x:v>
      </x:c>
      <x:c r="Z19" s="4"/>
      <x:c r="AA19" s="4" t="s">
        <x:v>352</x:v>
      </x:c>
    </x:row>
    <x:row r="20" ht="69" customHeight="1">
      <x:c r="A20" s="6" t="s">
        <x:v>38</x:v>
      </x:c>
      <x:c r="B20" s="4" t="s">
        <x:v>13</x:v>
      </x:c>
      <x:c r="C20" s="4" t="s">
        <x:v>15</x:v>
      </x:c>
      <x:c r="D20" s="6" t="s">
        <x:v>212</x:v>
      </x:c>
      <x:c r="E20" s="4" t="s">
        <x:v>180</x:v>
      </x:c>
      <x:c r="F20" s="4" t="s">
        <x:v>87</x:v>
      </x:c>
      <x:c r="G20" s="4">
        <x:v>1</x:v>
      </x:c>
      <x:c r="H20" s="4" t="str">
        <x:f>_xlfn.XLOOKUP($AA20,'Bilingual Names'!$L$5:$L$327,'Bilingual Names'!$F$5:$F$327,"")</x:f>
        <x:v>Jeskai Energy</x:v>
      </x:c>
      <x:c r="I20" s="4" t="str">
        <x:f>_xlfn.XLOOKUP($AA20,'Bilingual Names'!$L$5:$L$327,'Bilingual Names'!$J$5:$J$327,"")</x:f>
        <x:v>洁斯凯能量</x:v>
      </x:c>
      <x:c r="J20" s="7" t="str">
        <x:f>_xlfn.XLOOKUP($AA20,'Bilingual Names'!$L$5:$L$327,'Bilingual Names'!$K$5:$K$327,"")</x:f>
        <x:v>APPROVED</x:v>
      </x:c>
      <x:c r="K20" s="4" t="s">
        <x:v>182</x:v>
      </x:c>
      <x:c r="L20" s="4" t="s">
        <x:v>183</x:v>
      </x:c>
      <x:c r="M20" s="4" t="s">
        <x:v>231</x:v>
      </x:c>
      <x:c r="N20" s="6" t="s">
        <x:v>353</x:v>
      </x:c>
      <x:c r="O20" s="6" t="s">
        <x:v>354</x:v>
      </x:c>
      <x:c r="P20" s="6" t="s">
        <x:v>355</x:v>
      </x:c>
      <x:c r="Q20" s="6" t="s">
        <x:v>356</x:v>
      </x:c>
      <x:c r="R20" s="6" t="s">
        <x:v>337</x:v>
      </x:c>
      <x:c r="S20" s="5" t="s">
        <x:v>357</x:v>
      </x:c>
      <x:c r="T20" s="6" t="str">
        <x:v>The winner of a 301-player Modern Super RCQ, included to showcase the champion's Jeskai Energy build from the week's largest event.</x:v>
      </x:c>
      <x:c r="U20" s="4" t="s">
        <x:v>358</x:v>
      </x:c>
      <x:c r="V20" s="4" t="s">
        <x:v>359</x:v>
      </x:c>
      <x:c r="W20" s="7" t="str">
        <x:f t="shared" si="0">IF(A20&lt;&gt;"KEEP","NOT SELECTED",IF(OR(D20="",N20="",O20="",P20="",Q20="",R20=""),"NEEDS INPUT","READY"))</x:f>
        <x:v>READY</x:v>
      </x:c>
      <x:c r="X20" s="7" t="str">
        <x:f t="shared" si="1">IF(A20&lt;&gt;"KEEP","NOT SELECTED",IF(S20="","NEEDS P12-15C DRAFT",IF(T20="","NEEDS OWNER REVIEW","READY")))</x:f>
        <x:v>READY</x:v>
      </x:c>
      <x:c r="Y20" s="4" t="s">
        <x:v>360</x:v>
      </x:c>
      <x:c r="Z20" s="4"/>
      <x:c r="AA20" s="4" t="s">
        <x:v>361</x:v>
      </x:c>
    </x:row>
    <x:row r="21" ht="69" customHeight="1">
      <x:c r="A21" s="6" t="s">
        <x:v>38</x:v>
      </x:c>
      <x:c r="B21" s="4" t="s">
        <x:v>13</x:v>
      </x:c>
      <x:c r="C21" s="4" t="s">
        <x:v>15</x:v>
      </x:c>
      <x:c r="D21" s="6" t="s">
        <x:v>212</x:v>
      </x:c>
      <x:c r="E21" s="4" t="s">
        <x:v>187</x:v>
      </x:c>
      <x:c r="F21" s="4" t="s">
        <x:v>149</x:v>
      </x:c>
      <x:c r="G21" s="4">
        <x:v>2</x:v>
      </x:c>
      <x:c r="H21" s="4" t="str">
        <x:f>_xlfn.XLOOKUP($AA21,'Bilingual Names'!$L$5:$L$327,'Bilingual Names'!$F$5:$F$327,"")</x:f>
        <x:v>Boros Energy</x:v>
      </x:c>
      <x:c r="I21" s="4" t="str">
        <x:f>_xlfn.XLOOKUP($AA21,'Bilingual Names'!$L$5:$L$327,'Bilingual Names'!$J$5:$J$327,"")</x:f>
        <x:v>红白能量</x:v>
      </x:c>
      <x:c r="J21" s="7" t="str">
        <x:f>_xlfn.XLOOKUP($AA21,'Bilingual Names'!$L$5:$L$327,'Bilingual Names'!$K$5:$K$327,"")</x:f>
        <x:v>APPROVED</x:v>
      </x:c>
      <x:c r="K21" s="4" t="s">
        <x:v>189</x:v>
      </x:c>
      <x:c r="L21" s="4" t="s">
        <x:v>190</x:v>
      </x:c>
      <x:c r="M21" s="4" t="s">
        <x:v>268</x:v>
      </x:c>
      <x:c r="N21" s="6" t="s">
        <x:v>362</x:v>
      </x:c>
      <x:c r="O21" s="6" t="s">
        <x:v>354</x:v>
      </x:c>
      <x:c r="P21" s="6" t="s">
        <x:v>355</x:v>
      </x:c>
      <x:c r="Q21" s="6" t="s">
        <x:v>356</x:v>
      </x:c>
      <x:c r="R21" s="6" t="s">
        <x:v>363</x:v>
      </x:c>
      <x:c r="S21" s="5" t="s">
        <x:v>364</x:v>
      </x:c>
      <x:c r="T21" s="6" t="str">
        <x:v>A Boros Energy list featuring the new card Belladonna Took.</x:v>
      </x:c>
      <x:c r="U21" s="4" t="s">
        <x:v>365</x:v>
      </x:c>
      <x:c r="V21" s="4" t="s">
        <x:v>366</x:v>
      </x:c>
      <x:c r="W21" s="7" t="str">
        <x:f t="shared" si="0">IF(A21&lt;&gt;"KEEP","NOT SELECTED",IF(OR(D21="",N21="",O21="",P21="",Q21="",R21=""),"NEEDS INPUT","READY"))</x:f>
        <x:v>READY</x:v>
      </x:c>
      <x:c r="X21" s="7" t="str">
        <x:f t="shared" si="1">IF(A21&lt;&gt;"KEEP","NOT SELECTED",IF(S21="","NEEDS P12-15C DRAFT",IF(T21="","NEEDS OWNER REVIEW","READY")))</x:f>
        <x:v>READY</x:v>
      </x:c>
      <x:c r="Y21" s="4" t="s">
        <x:v>367</x:v>
      </x:c>
      <x:c r="Z21" s="4"/>
      <x:c r="AA21" s="4" t="s">
        <x:v>368</x:v>
      </x:c>
    </x:row>
  </x:sheetData>
  <x:mergeCells>
    <x:mergeCell ref="A1:AA1"/>
    <x:mergeCell ref="A2:AA2"/>
  </x:mergeCells>
  <x:dataValidations count="2">
    <x:dataValidation type="list" sqref="A5:A204">
      <x:formula1>"KEEP,DROP,ADD"</x:formula1>
    </x:dataValidation>
    <x:dataValidation type="list" sqref="D5:D204">
      <x:formula1>"new_deck,new_technology"</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4.383333206176758" customWidth="1"/>
    <x:col min="2" max="2" width="27.5" customWidth="1"/>
    <x:col min="3" max="3" width="11.25" customWidth="1"/>
    <x:col min="4" max="4" width="10" customWidth="1"/>
    <x:col min="5" max="5" width="22.5" customWidth="1"/>
    <x:col min="6" max="6" width="11.883333206176758" customWidth="1"/>
    <x:col min="7" max="7" width="6.883333206176758" customWidth="1"/>
    <x:col min="8" max="8" width="18.75" customWidth="1"/>
    <x:col min="9" max="9" width="15" customWidth="1"/>
    <x:col min="10" max="10" width="23.75" customWidth="1"/>
    <x:col min="11" max="12" width="28.75" customWidth="1"/>
    <x:col min="13" max="13" width="52.5" customWidth="1"/>
  </x:cols>
  <x:sheetData>
    <x:row r="1" ht="24" customHeight="1">
      <x:c r="A1" s="17" t="s">
        <x:v>369</x:v>
      </x:c>
    </x:row>
    <x:row r="2" ht="31.5" customHeight="1">
      <x:c r="A2" s="18" t="s">
        <x:v>370</x:v>
      </x:c>
    </x:row>
    <x:row r="4" ht="24" customHeight="1">
      <x:c r="A4" s="19" t="s">
        <x:v>371</x:v>
      </x:c>
      <x:c r="B4" s="19" t="s">
        <x:v>372</x:v>
      </x:c>
      <x:c r="C4" s="19" t="s">
        <x:v>1</x:v>
      </x:c>
      <x:c r="D4" s="19" t="s">
        <x:v>0</x:v>
      </x:c>
      <x:c r="E4" s="19" t="s">
        <x:v>68</x:v>
      </x:c>
      <x:c r="F4" s="19" t="s">
        <x:v>69</x:v>
      </x:c>
      <x:c r="G4" s="19" t="s">
        <x:v>70</x:v>
      </x:c>
      <x:c r="H4" s="19" t="s">
        <x:v>71</x:v>
      </x:c>
      <x:c r="I4" s="19" t="s">
        <x:v>72</x:v>
      </x:c>
      <x:c r="J4" s="19" t="s">
        <x:v>73</x:v>
      </x:c>
      <x:c r="K4" s="19" t="s">
        <x:v>65</x:v>
      </x:c>
      <x:c r="L4" s="19" t="s">
        <x:v>66</x:v>
      </x:c>
      <x:c r="M4" s="19" t="s">
        <x:v>67</x:v>
      </x:c>
    </x:row>
    <x:row r="5" ht="28.5" customHeight="1">
      <x:c r="A5" s="20"/>
      <x:c r="B5" s="20"/>
      <x:c r="C5" s="21" t="s">
        <x:v>13</x:v>
      </x:c>
      <x:c r="D5" s="21" t="s">
        <x:v>9</x:v>
      </x:c>
      <x:c r="E5" s="21" t="s">
        <x:v>373</x:v>
      </x:c>
      <x:c r="F5" s="21" t="s">
        <x:v>374</x:v>
      </x:c>
      <x:c r="G5" s="21">
        <x:v>1</x:v>
      </x:c>
      <x:c r="H5" s="21" t="s">
        <x:v>375</x:v>
      </x:c>
      <x:c r="I5" s="21" t="s">
        <x:v>376</x:v>
      </x:c>
      <x:c r="J5" s="21" t="s">
        <x:v>377</x:v>
      </x:c>
      <x:c r="K5" s="21" t="s">
        <x:v>378</x:v>
      </x:c>
      <x:c r="L5" s="21" t="s">
        <x:v>379</x:v>
      </x:c>
      <x:c r="M5" s="21" t="s">
        <x:v>380</x:v>
      </x:c>
    </x:row>
    <x:row r="6" ht="28.5" customHeight="1">
      <x:c r="A6" s="20"/>
      <x:c r="B6" s="20"/>
      <x:c r="C6" s="21" t="s">
        <x:v>13</x:v>
      </x:c>
      <x:c r="D6" s="21" t="s">
        <x:v>9</x:v>
      </x:c>
      <x:c r="E6" s="21" t="s">
        <x:v>373</x:v>
      </x:c>
      <x:c r="F6" s="21" t="s">
        <x:v>374</x:v>
      </x:c>
      <x:c r="G6" s="21">
        <x:v>2</x:v>
      </x:c>
      <x:c r="H6" s="21" t="s">
        <x:v>80</x:v>
      </x:c>
      <x:c r="I6" s="21" t="s">
        <x:v>381</x:v>
      </x:c>
      <x:c r="J6" s="21" t="s">
        <x:v>382</x:v>
      </x:c>
      <x:c r="K6" s="21" t="s">
        <x:v>383</x:v>
      </x:c>
      <x:c r="L6" s="21" t="s">
        <x:v>384</x:v>
      </x:c>
      <x:c r="M6" s="21" t="s">
        <x:v>385</x:v>
      </x:c>
    </x:row>
    <x:row r="7" ht="28.5" customHeight="1">
      <x:c r="A7" s="20"/>
      <x:c r="B7" s="20"/>
      <x:c r="C7" s="21" t="s">
        <x:v>13</x:v>
      </x:c>
      <x:c r="D7" s="21" t="s">
        <x:v>9</x:v>
      </x:c>
      <x:c r="E7" s="21" t="s">
        <x:v>373</x:v>
      </x:c>
      <x:c r="F7" s="21" t="s">
        <x:v>374</x:v>
      </x:c>
      <x:c r="G7" s="21">
        <x:v>3</x:v>
      </x:c>
      <x:c r="H7" s="21" t="s">
        <x:v>80</x:v>
      </x:c>
      <x:c r="I7" s="21" t="s">
        <x:v>386</x:v>
      </x:c>
      <x:c r="J7" s="21" t="s">
        <x:v>387</x:v>
      </x:c>
      <x:c r="K7" s="21" t="s">
        <x:v>388</x:v>
      </x:c>
      <x:c r="L7" s="21" t="s">
        <x:v>389</x:v>
      </x:c>
      <x:c r="M7" s="21" t="s">
        <x:v>390</x:v>
      </x:c>
    </x:row>
    <x:row r="8" ht="28.5" customHeight="1">
      <x:c r="A8" s="20"/>
      <x:c r="B8" s="20"/>
      <x:c r="C8" s="21" t="s">
        <x:v>13</x:v>
      </x:c>
      <x:c r="D8" s="21" t="s">
        <x:v>9</x:v>
      </x:c>
      <x:c r="E8" s="21" t="s">
        <x:v>373</x:v>
      </x:c>
      <x:c r="F8" s="21" t="s">
        <x:v>374</x:v>
      </x:c>
      <x:c r="G8" s="21">
        <x:v>4</x:v>
      </x:c>
      <x:c r="H8" s="21" t="s">
        <x:v>391</x:v>
      </x:c>
      <x:c r="I8" s="21" t="s">
        <x:v>392</x:v>
      </x:c>
      <x:c r="J8" s="21" t="s">
        <x:v>393</x:v>
      </x:c>
      <x:c r="K8" s="21" t="s">
        <x:v>394</x:v>
      </x:c>
      <x:c r="L8" s="21" t="s">
        <x:v>395</x:v>
      </x:c>
      <x:c r="M8" s="21" t="s">
        <x:v>396</x:v>
      </x:c>
    </x:row>
    <x:row r="9" ht="28.5" customHeight="1">
      <x:c r="A9" s="20"/>
      <x:c r="B9" s="20"/>
      <x:c r="C9" s="21" t="s">
        <x:v>13</x:v>
      </x:c>
      <x:c r="D9" s="21" t="s">
        <x:v>9</x:v>
      </x:c>
      <x:c r="E9" s="21" t="s">
        <x:v>373</x:v>
      </x:c>
      <x:c r="F9" s="21" t="s">
        <x:v>374</x:v>
      </x:c>
      <x:c r="G9" s="21">
        <x:v>5</x:v>
      </x:c>
      <x:c r="H9" s="21" t="s">
        <x:v>397</x:v>
      </x:c>
      <x:c r="I9" s="21" t="s">
        <x:v>398</x:v>
      </x:c>
      <x:c r="J9" s="21" t="s">
        <x:v>399</x:v>
      </x:c>
      <x:c r="K9" s="21" t="s">
        <x:v>400</x:v>
      </x:c>
      <x:c r="L9" s="21" t="s">
        <x:v>401</x:v>
      </x:c>
      <x:c r="M9" s="21" t="s">
        <x:v>402</x:v>
      </x:c>
    </x:row>
    <x:row r="10" ht="28.5" customHeight="1">
      <x:c r="A10" s="20"/>
      <x:c r="B10" s="20"/>
      <x:c r="C10" s="21" t="s">
        <x:v>13</x:v>
      </x:c>
      <x:c r="D10" s="21" t="s">
        <x:v>9</x:v>
      </x:c>
      <x:c r="E10" s="21" t="s">
        <x:v>373</x:v>
      </x:c>
      <x:c r="F10" s="21" t="s">
        <x:v>374</x:v>
      </x:c>
      <x:c r="G10" s="21">
        <x:v>6</x:v>
      </x:c>
      <x:c r="H10" s="21" t="s">
        <x:v>391</x:v>
      </x:c>
      <x:c r="I10" s="21" t="s">
        <x:v>403</x:v>
      </x:c>
      <x:c r="J10" s="21" t="s">
        <x:v>404</x:v>
      </x:c>
      <x:c r="K10" s="21" t="s">
        <x:v>405</x:v>
      </x:c>
      <x:c r="L10" s="21" t="s">
        <x:v>406</x:v>
      </x:c>
      <x:c r="M10" s="21" t="s">
        <x:v>407</x:v>
      </x:c>
    </x:row>
    <x:row r="11" ht="28.5" customHeight="1">
      <x:c r="A11" s="20"/>
      <x:c r="B11" s="20"/>
      <x:c r="C11" s="21" t="s">
        <x:v>13</x:v>
      </x:c>
      <x:c r="D11" s="21" t="s">
        <x:v>9</x:v>
      </x:c>
      <x:c r="E11" s="21" t="s">
        <x:v>373</x:v>
      </x:c>
      <x:c r="F11" s="21" t="s">
        <x:v>374</x:v>
      </x:c>
      <x:c r="G11" s="21">
        <x:v>7</x:v>
      </x:c>
      <x:c r="H11" s="21" t="s">
        <x:v>118</x:v>
      </x:c>
      <x:c r="I11" s="21" t="s">
        <x:v>408</x:v>
      </x:c>
      <x:c r="J11" s="21" t="s">
        <x:v>409</x:v>
      </x:c>
      <x:c r="K11" s="21" t="s">
        <x:v>410</x:v>
      </x:c>
      <x:c r="L11" s="21" t="s">
        <x:v>411</x:v>
      </x:c>
      <x:c r="M11" s="21" t="s">
        <x:v>412</x:v>
      </x:c>
    </x:row>
    <x:row r="12" ht="28.5" customHeight="1">
      <x:c r="A12" s="20"/>
      <x:c r="B12" s="20"/>
      <x:c r="C12" s="21" t="s">
        <x:v>13</x:v>
      </x:c>
      <x:c r="D12" s="21" t="s">
        <x:v>9</x:v>
      </x:c>
      <x:c r="E12" s="21" t="s">
        <x:v>373</x:v>
      </x:c>
      <x:c r="F12" s="21" t="s">
        <x:v>374</x:v>
      </x:c>
      <x:c r="G12" s="21">
        <x:v>8</x:v>
      </x:c>
      <x:c r="H12" s="21" t="s">
        <x:v>413</x:v>
      </x:c>
      <x:c r="I12" s="21" t="s">
        <x:v>414</x:v>
      </x:c>
      <x:c r="J12" s="21" t="s">
        <x:v>415</x:v>
      </x:c>
      <x:c r="K12" s="21" t="s">
        <x:v>416</x:v>
      </x:c>
      <x:c r="L12" s="21" t="s">
        <x:v>417</x:v>
      </x:c>
      <x:c r="M12" s="21" t="s">
        <x:v>418</x:v>
      </x:c>
    </x:row>
    <x:row r="13" ht="28.5" customHeight="1">
      <x:c r="A13" s="20"/>
      <x:c r="B13" s="20"/>
      <x:c r="C13" s="21" t="s">
        <x:v>13</x:v>
      </x:c>
      <x:c r="D13" s="21" t="s">
        <x:v>9</x:v>
      </x:c>
      <x:c r="E13" s="21" t="s">
        <x:v>101</x:v>
      </x:c>
      <x:c r="F13" s="21" t="s">
        <x:v>102</x:v>
      </x:c>
      <x:c r="G13" s="21">
        <x:v>1</x:v>
      </x:c>
      <x:c r="H13" s="21" t="s">
        <x:v>103</x:v>
      </x:c>
      <x:c r="I13" s="21" t="s">
        <x:v>104</x:v>
      </x:c>
      <x:c r="J13" s="21" t="s">
        <x:v>105</x:v>
      </x:c>
      <x:c r="K13" s="21" t="s">
        <x:v>98</x:v>
      </x:c>
      <x:c r="L13" s="21" t="s">
        <x:v>99</x:v>
      </x:c>
      <x:c r="M13" s="21" t="s">
        <x:v>100</x:v>
      </x:c>
    </x:row>
    <x:row r="14" ht="28.5" customHeight="1">
      <x:c r="A14" s="20"/>
      <x:c r="B14" s="20"/>
      <x:c r="C14" s="21" t="s">
        <x:v>13</x:v>
      </x:c>
      <x:c r="D14" s="21" t="s">
        <x:v>9</x:v>
      </x:c>
      <x:c r="E14" s="21" t="s">
        <x:v>101</x:v>
      </x:c>
      <x:c r="F14" s="21" t="s">
        <x:v>102</x:v>
      </x:c>
      <x:c r="G14" s="21">
        <x:v>2</x:v>
      </x:c>
      <x:c r="H14" s="21" t="s">
        <x:v>375</x:v>
      </x:c>
      <x:c r="I14" s="21" t="s">
        <x:v>419</x:v>
      </x:c>
      <x:c r="J14" s="21" t="s">
        <x:v>420</x:v>
      </x:c>
      <x:c r="K14" s="21" t="s">
        <x:v>421</x:v>
      </x:c>
      <x:c r="L14" s="21" t="s">
        <x:v>422</x:v>
      </x:c>
      <x:c r="M14" s="21" t="s">
        <x:v>423</x:v>
      </x:c>
    </x:row>
    <x:row r="15" ht="28.5" customHeight="1">
      <x:c r="A15" s="20"/>
      <x:c r="B15" s="20"/>
      <x:c r="C15" s="21" t="s">
        <x:v>13</x:v>
      </x:c>
      <x:c r="D15" s="21" t="s">
        <x:v>9</x:v>
      </x:c>
      <x:c r="E15" s="21" t="s">
        <x:v>101</x:v>
      </x:c>
      <x:c r="F15" s="21" t="s">
        <x:v>102</x:v>
      </x:c>
      <x:c r="G15" s="21">
        <x:v>3</x:v>
      </x:c>
      <x:c r="H15" s="21" t="s">
        <x:v>130</x:v>
      </x:c>
      <x:c r="I15" s="21" t="s">
        <x:v>424</x:v>
      </x:c>
      <x:c r="J15" s="21" t="s">
        <x:v>425</x:v>
      </x:c>
      <x:c r="K15" s="21" t="s">
        <x:v>426</x:v>
      </x:c>
      <x:c r="L15" s="21" t="s">
        <x:v>427</x:v>
      </x:c>
      <x:c r="M15" s="21" t="s">
        <x:v>428</x:v>
      </x:c>
    </x:row>
    <x:row r="16" ht="28.5" customHeight="1">
      <x:c r="A16" s="20"/>
      <x:c r="B16" s="20"/>
      <x:c r="C16" s="21" t="s">
        <x:v>13</x:v>
      </x:c>
      <x:c r="D16" s="21" t="s">
        <x:v>9</x:v>
      </x:c>
      <x:c r="E16" s="21" t="s">
        <x:v>101</x:v>
      </x:c>
      <x:c r="F16" s="21" t="s">
        <x:v>102</x:v>
      </x:c>
      <x:c r="G16" s="21">
        <x:v>4</x:v>
      </x:c>
      <x:c r="H16" s="21" t="s">
        <x:v>103</x:v>
      </x:c>
      <x:c r="I16" s="21" t="s">
        <x:v>429</x:v>
      </x:c>
      <x:c r="J16" s="21" t="s">
        <x:v>430</x:v>
      </x:c>
      <x:c r="K16" s="21" t="s">
        <x:v>431</x:v>
      </x:c>
      <x:c r="L16" s="21" t="s">
        <x:v>432</x:v>
      </x:c>
      <x:c r="M16" s="21" t="s">
        <x:v>433</x:v>
      </x:c>
    </x:row>
    <x:row r="17" ht="28.5" customHeight="1">
      <x:c r="A17" s="20"/>
      <x:c r="B17" s="20"/>
      <x:c r="C17" s="21" t="s">
        <x:v>13</x:v>
      </x:c>
      <x:c r="D17" s="21" t="s">
        <x:v>9</x:v>
      </x:c>
      <x:c r="E17" s="21" t="s">
        <x:v>101</x:v>
      </x:c>
      <x:c r="F17" s="21" t="s">
        <x:v>102</x:v>
      </x:c>
      <x:c r="G17" s="21">
        <x:v>5</x:v>
      </x:c>
      <x:c r="H17" s="21" t="s">
        <x:v>103</x:v>
      </x:c>
      <x:c r="I17" s="21" t="s">
        <x:v>434</x:v>
      </x:c>
      <x:c r="J17" s="21" t="s">
        <x:v>435</x:v>
      </x:c>
      <x:c r="K17" s="21" t="s">
        <x:v>436</x:v>
      </x:c>
      <x:c r="L17" s="21" t="s">
        <x:v>437</x:v>
      </x:c>
      <x:c r="M17" s="21" t="s">
        <x:v>438</x:v>
      </x:c>
    </x:row>
    <x:row r="18" ht="28.5" customHeight="1">
      <x:c r="A18" s="20"/>
      <x:c r="B18" s="20"/>
      <x:c r="C18" s="21" t="s">
        <x:v>13</x:v>
      </x:c>
      <x:c r="D18" s="21" t="s">
        <x:v>9</x:v>
      </x:c>
      <x:c r="E18" s="21" t="s">
        <x:v>101</x:v>
      </x:c>
      <x:c r="F18" s="21" t="s">
        <x:v>102</x:v>
      </x:c>
      <x:c r="G18" s="21">
        <x:v>6</x:v>
      </x:c>
      <x:c r="H18" s="21" t="s">
        <x:v>413</x:v>
      </x:c>
      <x:c r="I18" s="21" t="s">
        <x:v>414</x:v>
      </x:c>
      <x:c r="J18" s="21" t="s">
        <x:v>439</x:v>
      </x:c>
      <x:c r="K18" s="21" t="s">
        <x:v>440</x:v>
      </x:c>
      <x:c r="L18" s="21" t="s">
        <x:v>441</x:v>
      </x:c>
      <x:c r="M18" s="21" t="s">
        <x:v>442</x:v>
      </x:c>
    </x:row>
    <x:row r="19" ht="28.5" customHeight="1">
      <x:c r="A19" s="20"/>
      <x:c r="B19" s="20"/>
      <x:c r="C19" s="21" t="s">
        <x:v>13</x:v>
      </x:c>
      <x:c r="D19" s="21" t="s">
        <x:v>9</x:v>
      </x:c>
      <x:c r="E19" s="21" t="s">
        <x:v>101</x:v>
      </x:c>
      <x:c r="F19" s="21" t="s">
        <x:v>102</x:v>
      </x:c>
      <x:c r="G19" s="21">
        <x:v>7</x:v>
      </x:c>
      <x:c r="H19" s="21" t="s">
        <x:v>95</x:v>
      </x:c>
      <x:c r="I19" s="21" t="s">
        <x:v>443</x:v>
      </x:c>
      <x:c r="J19" s="21" t="s">
        <x:v>444</x:v>
      </x:c>
      <x:c r="K19" s="21" t="s">
        <x:v>445</x:v>
      </x:c>
      <x:c r="L19" s="21" t="s">
        <x:v>446</x:v>
      </x:c>
      <x:c r="M19" s="21" t="s">
        <x:v>447</x:v>
      </x:c>
    </x:row>
    <x:row r="20" ht="28.5" customHeight="1">
      <x:c r="A20" s="20"/>
      <x:c r="B20" s="20"/>
      <x:c r="C20" s="21" t="s">
        <x:v>13</x:v>
      </x:c>
      <x:c r="D20" s="21" t="s">
        <x:v>9</x:v>
      </x:c>
      <x:c r="E20" s="21" t="s">
        <x:v>101</x:v>
      </x:c>
      <x:c r="F20" s="21" t="s">
        <x:v>102</x:v>
      </x:c>
      <x:c r="G20" s="21">
        <x:v>8</x:v>
      </x:c>
      <x:c r="H20" s="21" t="s">
        <x:v>448</x:v>
      </x:c>
      <x:c r="I20" s="21" t="s">
        <x:v>449</x:v>
      </x:c>
      <x:c r="J20" s="21" t="s">
        <x:v>450</x:v>
      </x:c>
      <x:c r="K20" s="21" t="s">
        <x:v>451</x:v>
      </x:c>
      <x:c r="L20" s="21" t="s">
        <x:v>452</x:v>
      </x:c>
      <x:c r="M20" s="21" t="s">
        <x:v>453</x:v>
      </x:c>
    </x:row>
    <x:row r="21" ht="28.5" customHeight="1">
      <x:c r="A21" s="20"/>
      <x:c r="B21" s="20"/>
      <x:c r="C21" s="21" t="s">
        <x:v>13</x:v>
      </x:c>
      <x:c r="D21" s="21" t="s">
        <x:v>9</x:v>
      </x:c>
      <x:c r="E21" s="21" t="s">
        <x:v>148</x:v>
      </x:c>
      <x:c r="F21" s="21" t="s">
        <x:v>149</x:v>
      </x:c>
      <x:c r="G21" s="21">
        <x:v>1</x:v>
      </x:c>
      <x:c r="H21" s="21" t="s">
        <x:v>95</x:v>
      </x:c>
      <x:c r="I21" s="21" t="s">
        <x:v>454</x:v>
      </x:c>
      <x:c r="J21" s="21" t="s">
        <x:v>455</x:v>
      </x:c>
      <x:c r="K21" s="21" t="s">
        <x:v>456</x:v>
      </x:c>
      <x:c r="L21" s="21" t="s">
        <x:v>457</x:v>
      </x:c>
      <x:c r="M21" s="21" t="s">
        <x:v>458</x:v>
      </x:c>
    </x:row>
    <x:row r="22" ht="28.5" customHeight="1">
      <x:c r="A22" s="20"/>
      <x:c r="B22" s="20"/>
      <x:c r="C22" s="21" t="s">
        <x:v>13</x:v>
      </x:c>
      <x:c r="D22" s="21" t="s">
        <x:v>9</x:v>
      </x:c>
      <x:c r="E22" s="21" t="s">
        <x:v>148</x:v>
      </x:c>
      <x:c r="F22" s="21" t="s">
        <x:v>149</x:v>
      </x:c>
      <x:c r="G22" s="21">
        <x:v>2</x:v>
      </x:c>
      <x:c r="H22" s="21" t="s">
        <x:v>150</x:v>
      </x:c>
      <x:c r="I22" s="21" t="s">
        <x:v>151</x:v>
      </x:c>
      <x:c r="J22" s="21" t="s">
        <x:v>152</x:v>
      </x:c>
      <x:c r="K22" s="21" t="s">
        <x:v>145</x:v>
      </x:c>
      <x:c r="L22" s="21" t="s">
        <x:v>146</x:v>
      </x:c>
      <x:c r="M22" s="21" t="s">
        <x:v>147</x:v>
      </x:c>
    </x:row>
    <x:row r="23" ht="28.5" customHeight="1">
      <x:c r="A23" s="20"/>
      <x:c r="B23" s="20"/>
      <x:c r="C23" s="21" t="s">
        <x:v>13</x:v>
      </x:c>
      <x:c r="D23" s="21" t="s">
        <x:v>9</x:v>
      </x:c>
      <x:c r="E23" s="21" t="s">
        <x:v>148</x:v>
      </x:c>
      <x:c r="F23" s="21" t="s">
        <x:v>149</x:v>
      </x:c>
      <x:c r="G23" s="21">
        <x:v>3</x:v>
      </x:c>
      <x:c r="H23" s="21" t="s">
        <x:v>375</x:v>
      </x:c>
      <x:c r="I23" s="21" t="s">
        <x:v>459</x:v>
      </x:c>
      <x:c r="J23" s="21" t="s">
        <x:v>460</x:v>
      </x:c>
      <x:c r="K23" s="21" t="s">
        <x:v>461</x:v>
      </x:c>
      <x:c r="L23" s="21" t="s">
        <x:v>462</x:v>
      </x:c>
      <x:c r="M23" s="21" t="s">
        <x:v>463</x:v>
      </x:c>
    </x:row>
    <x:row r="24" ht="28.5" customHeight="1">
      <x:c r="A24" s="20"/>
      <x:c r="B24" s="20"/>
      <x:c r="C24" s="21" t="s">
        <x:v>13</x:v>
      </x:c>
      <x:c r="D24" s="21" t="s">
        <x:v>9</x:v>
      </x:c>
      <x:c r="E24" s="21" t="s">
        <x:v>148</x:v>
      </x:c>
      <x:c r="F24" s="21" t="s">
        <x:v>149</x:v>
      </x:c>
      <x:c r="G24" s="21">
        <x:v>4</x:v>
      </x:c>
      <x:c r="H24" s="21" t="s">
        <x:v>413</x:v>
      </x:c>
      <x:c r="I24" s="21" t="s">
        <x:v>464</x:v>
      </x:c>
      <x:c r="J24" s="21" t="s">
        <x:v>465</x:v>
      </x:c>
      <x:c r="K24" s="21" t="s">
        <x:v>466</x:v>
      </x:c>
      <x:c r="L24" s="21" t="s">
        <x:v>467</x:v>
      </x:c>
      <x:c r="M24" s="21" t="s">
        <x:v>468</x:v>
      </x:c>
    </x:row>
    <x:row r="25" ht="28.5" customHeight="1">
      <x:c r="A25" s="20"/>
      <x:c r="B25" s="20"/>
      <x:c r="C25" s="21" t="s">
        <x:v>13</x:v>
      </x:c>
      <x:c r="D25" s="21" t="s">
        <x:v>9</x:v>
      </x:c>
      <x:c r="E25" s="21" t="s">
        <x:v>148</x:v>
      </x:c>
      <x:c r="F25" s="21" t="s">
        <x:v>149</x:v>
      </x:c>
      <x:c r="G25" s="21">
        <x:v>5</x:v>
      </x:c>
      <x:c r="H25" s="21" t="s">
        <x:v>130</x:v>
      </x:c>
      <x:c r="I25" s="21" t="s">
        <x:v>469</x:v>
      </x:c>
      <x:c r="J25" s="21" t="s">
        <x:v>470</x:v>
      </x:c>
      <x:c r="K25" s="21" t="s">
        <x:v>471</x:v>
      </x:c>
      <x:c r="L25" s="21" t="s">
        <x:v>472</x:v>
      </x:c>
      <x:c r="M25" s="21" t="s">
        <x:v>473</x:v>
      </x:c>
    </x:row>
    <x:row r="26" ht="28.5" customHeight="1">
      <x:c r="A26" s="20"/>
      <x:c r="B26" s="20"/>
      <x:c r="C26" s="21" t="s">
        <x:v>13</x:v>
      </x:c>
      <x:c r="D26" s="21" t="s">
        <x:v>9</x:v>
      </x:c>
      <x:c r="E26" s="21" t="s">
        <x:v>148</x:v>
      </x:c>
      <x:c r="F26" s="21" t="s">
        <x:v>149</x:v>
      </x:c>
      <x:c r="G26" s="21">
        <x:v>6</x:v>
      </x:c>
      <x:c r="H26" s="21" t="s">
        <x:v>103</x:v>
      </x:c>
      <x:c r="I26" s="21" t="s">
        <x:v>474</x:v>
      </x:c>
      <x:c r="J26" s="21" t="s">
        <x:v>475</x:v>
      </x:c>
      <x:c r="K26" s="21" t="s">
        <x:v>476</x:v>
      </x:c>
      <x:c r="L26" s="21" t="s">
        <x:v>477</x:v>
      </x:c>
      <x:c r="M26" s="21" t="s">
        <x:v>478</x:v>
      </x:c>
    </x:row>
    <x:row r="27" ht="28.5" customHeight="1">
      <x:c r="A27" s="20"/>
      <x:c r="B27" s="20"/>
      <x:c r="C27" s="21" t="s">
        <x:v>13</x:v>
      </x:c>
      <x:c r="D27" s="21" t="s">
        <x:v>9</x:v>
      </x:c>
      <x:c r="E27" s="21" t="s">
        <x:v>148</x:v>
      </x:c>
      <x:c r="F27" s="21" t="s">
        <x:v>149</x:v>
      </x:c>
      <x:c r="G27" s="21">
        <x:v>7</x:v>
      </x:c>
      <x:c r="H27" s="21" t="s">
        <x:v>174</x:v>
      </x:c>
      <x:c r="I27" s="21" t="s">
        <x:v>175</x:v>
      </x:c>
      <x:c r="J27" s="21" t="s">
        <x:v>176</x:v>
      </x:c>
      <x:c r="K27" s="21" t="s">
        <x:v>171</x:v>
      </x:c>
      <x:c r="L27" s="21" t="s">
        <x:v>172</x:v>
      </x:c>
      <x:c r="M27" s="21" t="s">
        <x:v>173</x:v>
      </x:c>
    </x:row>
    <x:row r="28" ht="28.5" customHeight="1">
      <x:c r="A28" s="20"/>
      <x:c r="B28" s="20"/>
      <x:c r="C28" s="21" t="s">
        <x:v>13</x:v>
      </x:c>
      <x:c r="D28" s="21" t="s">
        <x:v>9</x:v>
      </x:c>
      <x:c r="E28" s="21" t="s">
        <x:v>148</x:v>
      </x:c>
      <x:c r="F28" s="21" t="s">
        <x:v>149</x:v>
      </x:c>
      <x:c r="G28" s="21">
        <x:v>8</x:v>
      </x:c>
      <x:c r="H28" s="21" t="s">
        <x:v>162</x:v>
      </x:c>
      <x:c r="I28" s="21" t="s">
        <x:v>163</x:v>
      </x:c>
      <x:c r="J28" s="21" t="s">
        <x:v>164</x:v>
      </x:c>
      <x:c r="K28" s="21" t="s">
        <x:v>159</x:v>
      </x:c>
      <x:c r="L28" s="21" t="s">
        <x:v>160</x:v>
      </x:c>
      <x:c r="M28" s="21" t="s">
        <x:v>161</x:v>
      </x:c>
    </x:row>
    <x:row r="29" ht="28.5" customHeight="1">
      <x:c r="A29" s="20"/>
      <x:c r="B29" s="20"/>
      <x:c r="C29" s="21" t="s">
        <x:v>13</x:v>
      </x:c>
      <x:c r="D29" s="21" t="s">
        <x:v>9</x:v>
      </x:c>
      <x:c r="E29" s="21" t="s">
        <x:v>116</x:v>
      </x:c>
      <x:c r="F29" s="21" t="s">
        <x:v>117</x:v>
      </x:c>
      <x:c r="G29" s="21">
        <x:v>1</x:v>
      </x:c>
      <x:c r="H29" s="21" t="s">
        <x:v>118</x:v>
      </x:c>
      <x:c r="I29" s="21" t="s">
        <x:v>119</x:v>
      </x:c>
      <x:c r="J29" s="21" t="s">
        <x:v>120</x:v>
      </x:c>
      <x:c r="K29" s="21" t="s">
        <x:v>113</x:v>
      </x:c>
      <x:c r="L29" s="21" t="s">
        <x:v>114</x:v>
      </x:c>
      <x:c r="M29" s="21" t="s">
        <x:v>115</x:v>
      </x:c>
    </x:row>
    <x:row r="30" ht="28.5" customHeight="1">
      <x:c r="A30" s="20"/>
      <x:c r="B30" s="20"/>
      <x:c r="C30" s="21" t="s">
        <x:v>13</x:v>
      </x:c>
      <x:c r="D30" s="21" t="s">
        <x:v>9</x:v>
      </x:c>
      <x:c r="E30" s="21" t="s">
        <x:v>116</x:v>
      </x:c>
      <x:c r="F30" s="21" t="s">
        <x:v>117</x:v>
      </x:c>
      <x:c r="G30" s="21">
        <x:v>2</x:v>
      </x:c>
      <x:c r="H30" s="21" t="s">
        <x:v>448</x:v>
      </x:c>
      <x:c r="I30" s="21" t="s">
        <x:v>479</x:v>
      </x:c>
      <x:c r="J30" s="21" t="s">
        <x:v>480</x:v>
      </x:c>
      <x:c r="K30" s="21" t="s">
        <x:v>481</x:v>
      </x:c>
      <x:c r="L30" s="21" t="s">
        <x:v>482</x:v>
      </x:c>
      <x:c r="M30" s="21" t="s">
        <x:v>483</x:v>
      </x:c>
    </x:row>
    <x:row r="31" ht="28.5" customHeight="1">
      <x:c r="A31" s="20"/>
      <x:c r="B31" s="20"/>
      <x:c r="C31" s="21" t="s">
        <x:v>13</x:v>
      </x:c>
      <x:c r="D31" s="21" t="s">
        <x:v>9</x:v>
      </x:c>
      <x:c r="E31" s="21" t="s">
        <x:v>116</x:v>
      </x:c>
      <x:c r="F31" s="21" t="s">
        <x:v>117</x:v>
      </x:c>
      <x:c r="G31" s="21">
        <x:v>3</x:v>
      </x:c>
      <x:c r="H31" s="21" t="s">
        <x:v>448</x:v>
      </x:c>
      <x:c r="I31" s="21" t="s">
        <x:v>484</x:v>
      </x:c>
      <x:c r="J31" s="21" t="s">
        <x:v>485</x:v>
      </x:c>
      <x:c r="K31" s="21" t="s">
        <x:v>486</x:v>
      </x:c>
      <x:c r="L31" s="21" t="s">
        <x:v>487</x:v>
      </x:c>
      <x:c r="M31" s="21" t="s">
        <x:v>488</x:v>
      </x:c>
    </x:row>
    <x:row r="32" ht="28.5" customHeight="1">
      <x:c r="A32" s="20"/>
      <x:c r="B32" s="20"/>
      <x:c r="C32" s="21" t="s">
        <x:v>13</x:v>
      </x:c>
      <x:c r="D32" s="21" t="s">
        <x:v>9</x:v>
      </x:c>
      <x:c r="E32" s="21" t="s">
        <x:v>116</x:v>
      </x:c>
      <x:c r="F32" s="21" t="s">
        <x:v>117</x:v>
      </x:c>
      <x:c r="G32" s="21">
        <x:v>4</x:v>
      </x:c>
      <x:c r="H32" s="21" t="s">
        <x:v>413</x:v>
      </x:c>
      <x:c r="I32" s="21" t="s">
        <x:v>464</x:v>
      </x:c>
      <x:c r="J32" s="21" t="s">
        <x:v>489</x:v>
      </x:c>
      <x:c r="K32" s="21" t="s">
        <x:v>466</x:v>
      </x:c>
      <x:c r="L32" s="21" t="s">
        <x:v>467</x:v>
      </x:c>
      <x:c r="M32" s="21" t="s">
        <x:v>490</x:v>
      </x:c>
    </x:row>
    <x:row r="33" ht="28.5" customHeight="1">
      <x:c r="A33" s="20"/>
      <x:c r="B33" s="20"/>
      <x:c r="C33" s="21" t="s">
        <x:v>13</x:v>
      </x:c>
      <x:c r="D33" s="21" t="s">
        <x:v>9</x:v>
      </x:c>
      <x:c r="E33" s="21" t="s">
        <x:v>116</x:v>
      </x:c>
      <x:c r="F33" s="21" t="s">
        <x:v>117</x:v>
      </x:c>
      <x:c r="G33" s="21">
        <x:v>5</x:v>
      </x:c>
      <x:c r="H33" s="21" t="s">
        <x:v>103</x:v>
      </x:c>
      <x:c r="I33" s="21" t="s">
        <x:v>491</x:v>
      </x:c>
      <x:c r="J33" s="21" t="s">
        <x:v>492</x:v>
      </x:c>
      <x:c r="K33" s="21" t="s">
        <x:v>493</x:v>
      </x:c>
      <x:c r="L33" s="21" t="s">
        <x:v>494</x:v>
      </x:c>
      <x:c r="M33" s="21" t="s">
        <x:v>495</x:v>
      </x:c>
    </x:row>
    <x:row r="34" ht="28.5" customHeight="1">
      <x:c r="A34" s="20"/>
      <x:c r="B34" s="20"/>
      <x:c r="C34" s="21" t="s">
        <x:v>13</x:v>
      </x:c>
      <x:c r="D34" s="21" t="s">
        <x:v>9</x:v>
      </x:c>
      <x:c r="E34" s="21" t="s">
        <x:v>116</x:v>
      </x:c>
      <x:c r="F34" s="21" t="s">
        <x:v>117</x:v>
      </x:c>
      <x:c r="G34" s="21">
        <x:v>6</x:v>
      </x:c>
      <x:c r="H34" s="21" t="s">
        <x:v>142</x:v>
      </x:c>
      <x:c r="I34" s="21" t="s">
        <x:v>143</x:v>
      </x:c>
      <x:c r="J34" s="21" t="s">
        <x:v>496</x:v>
      </x:c>
      <x:c r="K34" s="21" t="s">
        <x:v>497</x:v>
      </x:c>
      <x:c r="L34" s="21" t="s">
        <x:v>498</x:v>
      </x:c>
      <x:c r="M34" s="21" t="s">
        <x:v>499</x:v>
      </x:c>
    </x:row>
    <x:row r="35" ht="28.5" customHeight="1">
      <x:c r="A35" s="20"/>
      <x:c r="B35" s="20"/>
      <x:c r="C35" s="21" t="s">
        <x:v>13</x:v>
      </x:c>
      <x:c r="D35" s="21" t="s">
        <x:v>9</x:v>
      </x:c>
      <x:c r="E35" s="21" t="s">
        <x:v>116</x:v>
      </x:c>
      <x:c r="F35" s="21" t="s">
        <x:v>117</x:v>
      </x:c>
      <x:c r="G35" s="21">
        <x:v>7</x:v>
      </x:c>
      <x:c r="H35" s="21" t="s">
        <x:v>103</x:v>
      </x:c>
      <x:c r="I35" s="21" t="s">
        <x:v>500</x:v>
      </x:c>
      <x:c r="J35" s="21" t="s">
        <x:v>501</x:v>
      </x:c>
      <x:c r="K35" s="21" t="s">
        <x:v>502</x:v>
      </x:c>
      <x:c r="L35" s="21" t="s">
        <x:v>503</x:v>
      </x:c>
      <x:c r="M35" s="21" t="s">
        <x:v>504</x:v>
      </x:c>
    </x:row>
    <x:row r="36" ht="28.5" customHeight="1">
      <x:c r="A36" s="20"/>
      <x:c r="B36" s="20"/>
      <x:c r="C36" s="21" t="s">
        <x:v>13</x:v>
      </x:c>
      <x:c r="D36" s="21" t="s">
        <x:v>9</x:v>
      </x:c>
      <x:c r="E36" s="21" t="s">
        <x:v>116</x:v>
      </x:c>
      <x:c r="F36" s="21" t="s">
        <x:v>117</x:v>
      </x:c>
      <x:c r="G36" s="21">
        <x:v>8</x:v>
      </x:c>
      <x:c r="H36" s="21" t="s">
        <x:v>95</x:v>
      </x:c>
      <x:c r="I36" s="21" t="s">
        <x:v>505</x:v>
      </x:c>
      <x:c r="J36" s="21" t="s">
        <x:v>506</x:v>
      </x:c>
      <x:c r="K36" s="21" t="s">
        <x:v>507</x:v>
      </x:c>
      <x:c r="L36" s="21" t="s">
        <x:v>508</x:v>
      </x:c>
      <x:c r="M36" s="21" t="s">
        <x:v>509</x:v>
      </x:c>
    </x:row>
    <x:row r="37" ht="28.5" customHeight="1">
      <x:c r="A37" s="20"/>
      <x:c r="B37" s="20"/>
      <x:c r="C37" s="21" t="s">
        <x:v>13</x:v>
      </x:c>
      <x:c r="D37" s="21" t="s">
        <x:v>9</x:v>
      </x:c>
      <x:c r="E37" s="21" t="s">
        <x:v>129</x:v>
      </x:c>
      <x:c r="F37" s="21" t="s">
        <x:v>117</x:v>
      </x:c>
      <x:c r="G37" s="21">
        <x:v>1</x:v>
      </x:c>
      <x:c r="H37" s="21" t="s">
        <x:v>130</x:v>
      </x:c>
      <x:c r="I37" s="21" t="s">
        <x:v>131</x:v>
      </x:c>
      <x:c r="J37" s="21" t="s">
        <x:v>132</x:v>
      </x:c>
      <x:c r="K37" s="21" t="s">
        <x:v>126</x:v>
      </x:c>
      <x:c r="L37" s="21" t="s">
        <x:v>127</x:v>
      </x:c>
      <x:c r="M37" s="21" t="s">
        <x:v>128</x:v>
      </x:c>
    </x:row>
    <x:row r="38" ht="28.5" customHeight="1">
      <x:c r="A38" s="20"/>
      <x:c r="B38" s="20"/>
      <x:c r="C38" s="21" t="s">
        <x:v>13</x:v>
      </x:c>
      <x:c r="D38" s="21" t="s">
        <x:v>9</x:v>
      </x:c>
      <x:c r="E38" s="21" t="s">
        <x:v>129</x:v>
      </x:c>
      <x:c r="F38" s="21" t="s">
        <x:v>117</x:v>
      </x:c>
      <x:c r="G38" s="21">
        <x:v>2</x:v>
      </x:c>
      <x:c r="H38" s="21" t="s">
        <x:v>103</x:v>
      </x:c>
      <x:c r="I38" s="21" t="s">
        <x:v>510</x:v>
      </x:c>
      <x:c r="J38" s="21" t="s">
        <x:v>511</x:v>
      </x:c>
      <x:c r="K38" s="21" t="s">
        <x:v>512</x:v>
      </x:c>
      <x:c r="L38" s="21" t="s">
        <x:v>513</x:v>
      </x:c>
      <x:c r="M38" s="21" t="s">
        <x:v>514</x:v>
      </x:c>
    </x:row>
    <x:row r="39" ht="28.5" customHeight="1">
      <x:c r="A39" s="20"/>
      <x:c r="B39" s="20"/>
      <x:c r="C39" s="21" t="s">
        <x:v>13</x:v>
      </x:c>
      <x:c r="D39" s="21" t="s">
        <x:v>9</x:v>
      </x:c>
      <x:c r="E39" s="21" t="s">
        <x:v>129</x:v>
      </x:c>
      <x:c r="F39" s="21" t="s">
        <x:v>117</x:v>
      </x:c>
      <x:c r="G39" s="21">
        <x:v>3</x:v>
      </x:c>
      <x:c r="H39" s="21" t="s">
        <x:v>136</x:v>
      </x:c>
      <x:c r="I39" s="21" t="s">
        <x:v>137</x:v>
      </x:c>
      <x:c r="J39" s="21" t="s">
        <x:v>138</x:v>
      </x:c>
      <x:c r="K39" s="21" t="s">
        <x:v>133</x:v>
      </x:c>
      <x:c r="L39" s="21" t="s">
        <x:v>134</x:v>
      </x:c>
      <x:c r="M39" s="21" t="s">
        <x:v>135</x:v>
      </x:c>
    </x:row>
    <x:row r="40" ht="28.5" customHeight="1">
      <x:c r="A40" s="20"/>
      <x:c r="B40" s="20"/>
      <x:c r="C40" s="21" t="s">
        <x:v>13</x:v>
      </x:c>
      <x:c r="D40" s="21" t="s">
        <x:v>9</x:v>
      </x:c>
      <x:c r="E40" s="21" t="s">
        <x:v>129</x:v>
      </x:c>
      <x:c r="F40" s="21" t="s">
        <x:v>117</x:v>
      </x:c>
      <x:c r="G40" s="21">
        <x:v>4</x:v>
      </x:c>
      <x:c r="H40" s="21" t="s">
        <x:v>448</x:v>
      </x:c>
      <x:c r="I40" s="21" t="s">
        <x:v>515</x:v>
      </x:c>
      <x:c r="J40" s="21" t="s">
        <x:v>516</x:v>
      </x:c>
      <x:c r="K40" s="21" t="s">
        <x:v>517</x:v>
      </x:c>
      <x:c r="L40" s="21" t="s">
        <x:v>518</x:v>
      </x:c>
      <x:c r="M40" s="21" t="s">
        <x:v>519</x:v>
      </x:c>
    </x:row>
    <x:row r="41" ht="28.5" customHeight="1">
      <x:c r="A41" s="20"/>
      <x:c r="B41" s="20"/>
      <x:c r="C41" s="21" t="s">
        <x:v>13</x:v>
      </x:c>
      <x:c r="D41" s="21" t="s">
        <x:v>9</x:v>
      </x:c>
      <x:c r="E41" s="21" t="s">
        <x:v>129</x:v>
      </x:c>
      <x:c r="F41" s="21" t="s">
        <x:v>117</x:v>
      </x:c>
      <x:c r="G41" s="21">
        <x:v>5</x:v>
      </x:c>
      <x:c r="H41" s="21" t="s">
        <x:v>142</x:v>
      </x:c>
      <x:c r="I41" s="21" t="s">
        <x:v>143</x:v>
      </x:c>
      <x:c r="J41" s="21" t="s">
        <x:v>144</x:v>
      </x:c>
      <x:c r="K41" s="21" t="s">
        <x:v>139</x:v>
      </x:c>
      <x:c r="L41" s="21" t="s">
        <x:v>140</x:v>
      </x:c>
      <x:c r="M41" s="21" t="s">
        <x:v>141</x:v>
      </x:c>
    </x:row>
    <x:row r="42" ht="28.5" customHeight="1">
      <x:c r="A42" s="20"/>
      <x:c r="B42" s="20"/>
      <x:c r="C42" s="21" t="s">
        <x:v>13</x:v>
      </x:c>
      <x:c r="D42" s="21" t="s">
        <x:v>9</x:v>
      </x:c>
      <x:c r="E42" s="21" t="s">
        <x:v>129</x:v>
      </x:c>
      <x:c r="F42" s="21" t="s">
        <x:v>117</x:v>
      </x:c>
      <x:c r="G42" s="21">
        <x:v>6</x:v>
      </x:c>
      <x:c r="H42" s="21" t="s">
        <x:v>80</x:v>
      </x:c>
      <x:c r="I42" s="21" t="s">
        <x:v>520</x:v>
      </x:c>
      <x:c r="J42" s="21" t="s">
        <x:v>521</x:v>
      </x:c>
      <x:c r="K42" s="21" t="s">
        <x:v>522</x:v>
      </x:c>
      <x:c r="L42" s="21" t="s">
        <x:v>523</x:v>
      </x:c>
      <x:c r="M42" s="21" t="s">
        <x:v>524</x:v>
      </x:c>
    </x:row>
    <x:row r="43" ht="28.5" customHeight="1">
      <x:c r="A43" s="20"/>
      <x:c r="B43" s="20"/>
      <x:c r="C43" s="21" t="s">
        <x:v>13</x:v>
      </x:c>
      <x:c r="D43" s="21" t="s">
        <x:v>9</x:v>
      </x:c>
      <x:c r="E43" s="21" t="s">
        <x:v>129</x:v>
      </x:c>
      <x:c r="F43" s="21" t="s">
        <x:v>117</x:v>
      </x:c>
      <x:c r="G43" s="21">
        <x:v>7</x:v>
      </x:c>
      <x:c r="H43" s="21" t="s">
        <x:v>156</x:v>
      </x:c>
      <x:c r="I43" s="21" t="s">
        <x:v>157</x:v>
      </x:c>
      <x:c r="J43" s="21" t="s">
        <x:v>158</x:v>
      </x:c>
      <x:c r="K43" s="21" t="s">
        <x:v>153</x:v>
      </x:c>
      <x:c r="L43" s="21" t="s">
        <x:v>154</x:v>
      </x:c>
      <x:c r="M43" s="21" t="s">
        <x:v>155</x:v>
      </x:c>
    </x:row>
    <x:row r="44" ht="28.5" customHeight="1">
      <x:c r="A44" s="20"/>
      <x:c r="B44" s="20"/>
      <x:c r="C44" s="21" t="s">
        <x:v>13</x:v>
      </x:c>
      <x:c r="D44" s="21" t="s">
        <x:v>9</x:v>
      </x:c>
      <x:c r="E44" s="21" t="s">
        <x:v>129</x:v>
      </x:c>
      <x:c r="F44" s="21" t="s">
        <x:v>117</x:v>
      </x:c>
      <x:c r="G44" s="21">
        <x:v>8</x:v>
      </x:c>
      <x:c r="H44" s="21" t="s">
        <x:v>118</x:v>
      </x:c>
      <x:c r="I44" s="21" t="s">
        <x:v>408</x:v>
      </x:c>
      <x:c r="J44" s="21" t="s">
        <x:v>525</x:v>
      </x:c>
      <x:c r="K44" s="21" t="s">
        <x:v>526</x:v>
      </x:c>
      <x:c r="L44" s="21" t="s">
        <x:v>527</x:v>
      </x:c>
      <x:c r="M44" s="21" t="s">
        <x:v>528</x:v>
      </x:c>
    </x:row>
    <x:row r="45" ht="28.5" customHeight="1">
      <x:c r="A45" s="20"/>
      <x:c r="B45" s="20"/>
      <x:c r="C45" s="21" t="s">
        <x:v>13</x:v>
      </x:c>
      <x:c r="D45" s="21" t="s">
        <x:v>9</x:v>
      </x:c>
      <x:c r="E45" s="21" t="s">
        <x:v>86</x:v>
      </x:c>
      <x:c r="F45" s="21" t="s">
        <x:v>87</x:v>
      </x:c>
      <x:c r="G45" s="21">
        <x:v>1</x:v>
      </x:c>
      <x:c r="H45" s="21" t="s">
        <x:v>448</x:v>
      </x:c>
      <x:c r="I45" s="21" t="s">
        <x:v>484</x:v>
      </x:c>
      <x:c r="J45" s="21" t="s">
        <x:v>529</x:v>
      </x:c>
      <x:c r="K45" s="21" t="s">
        <x:v>530</x:v>
      </x:c>
      <x:c r="L45" s="21" t="s">
        <x:v>531</x:v>
      </x:c>
      <x:c r="M45" s="21" t="s">
        <x:v>532</x:v>
      </x:c>
    </x:row>
    <x:row r="46" ht="28.5" customHeight="1">
      <x:c r="A46" s="20"/>
      <x:c r="B46" s="20"/>
      <x:c r="C46" s="21" t="s">
        <x:v>13</x:v>
      </x:c>
      <x:c r="D46" s="21" t="s">
        <x:v>9</x:v>
      </x:c>
      <x:c r="E46" s="21" t="s">
        <x:v>86</x:v>
      </x:c>
      <x:c r="F46" s="21" t="s">
        <x:v>87</x:v>
      </x:c>
      <x:c r="G46" s="21">
        <x:v>2</x:v>
      </x:c>
      <x:c r="H46" s="21" t="s">
        <x:v>413</x:v>
      </x:c>
      <x:c r="I46" s="21" t="s">
        <x:v>414</x:v>
      </x:c>
      <x:c r="J46" s="21" t="s">
        <x:v>533</x:v>
      </x:c>
      <x:c r="K46" s="21" t="s">
        <x:v>534</x:v>
      </x:c>
      <x:c r="L46" s="21" t="s">
        <x:v>535</x:v>
      </x:c>
      <x:c r="M46" s="21" t="s">
        <x:v>536</x:v>
      </x:c>
    </x:row>
    <x:row r="47" ht="28.5" customHeight="1">
      <x:c r="A47" s="20"/>
      <x:c r="B47" s="20"/>
      <x:c r="C47" s="21" t="s">
        <x:v>13</x:v>
      </x:c>
      <x:c r="D47" s="21" t="s">
        <x:v>9</x:v>
      </x:c>
      <x:c r="E47" s="21" t="s">
        <x:v>86</x:v>
      </x:c>
      <x:c r="F47" s="21" t="s">
        <x:v>87</x:v>
      </x:c>
      <x:c r="G47" s="21">
        <x:v>3</x:v>
      </x:c>
      <x:c r="H47" s="21" t="s">
        <x:v>88</x:v>
      </x:c>
      <x:c r="I47" s="21" t="s">
        <x:v>89</x:v>
      </x:c>
      <x:c r="J47" s="21" t="s">
        <x:v>90</x:v>
      </x:c>
      <x:c r="K47" s="21" t="s">
        <x:v>83</x:v>
      </x:c>
      <x:c r="L47" s="21" t="s">
        <x:v>84</x:v>
      </x:c>
      <x:c r="M47" s="21" t="s">
        <x:v>85</x:v>
      </x:c>
    </x:row>
    <x:row r="48" ht="28.5" customHeight="1">
      <x:c r="A48" s="20"/>
      <x:c r="B48" s="20"/>
      <x:c r="C48" s="21" t="s">
        <x:v>13</x:v>
      </x:c>
      <x:c r="D48" s="21" t="s">
        <x:v>9</x:v>
      </x:c>
      <x:c r="E48" s="21" t="s">
        <x:v>86</x:v>
      </x:c>
      <x:c r="F48" s="21" t="s">
        <x:v>87</x:v>
      </x:c>
      <x:c r="G48" s="21">
        <x:v>4</x:v>
      </x:c>
      <x:c r="H48" s="21" t="s">
        <x:v>118</x:v>
      </x:c>
      <x:c r="I48" s="21" t="s">
        <x:v>537</x:v>
      </x:c>
      <x:c r="J48" s="21" t="s">
        <x:v>538</x:v>
      </x:c>
      <x:c r="K48" s="21" t="s">
        <x:v>539</x:v>
      </x:c>
      <x:c r="L48" s="21" t="s">
        <x:v>540</x:v>
      </x:c>
      <x:c r="M48" s="21" t="s">
        <x:v>541</x:v>
      </x:c>
    </x:row>
    <x:row r="49" ht="28.5" customHeight="1">
      <x:c r="A49" s="20"/>
      <x:c r="B49" s="20"/>
      <x:c r="C49" s="21" t="s">
        <x:v>13</x:v>
      </x:c>
      <x:c r="D49" s="21" t="s">
        <x:v>9</x:v>
      </x:c>
      <x:c r="E49" s="21" t="s">
        <x:v>86</x:v>
      </x:c>
      <x:c r="F49" s="21" t="s">
        <x:v>87</x:v>
      </x:c>
      <x:c r="G49" s="21">
        <x:v>5</x:v>
      </x:c>
      <x:c r="H49" s="21" t="s">
        <x:v>118</x:v>
      </x:c>
      <x:c r="I49" s="21" t="s">
        <x:v>124</x:v>
      </x:c>
      <x:c r="J49" s="21" t="s">
        <x:v>125</x:v>
      </x:c>
      <x:c r="K49" s="21" t="s">
        <x:v>121</x:v>
      </x:c>
      <x:c r="L49" s="21" t="s">
        <x:v>122</x:v>
      </x:c>
      <x:c r="M49" s="21" t="s">
        <x:v>123</x:v>
      </x:c>
    </x:row>
    <x:row r="50" ht="28.5" customHeight="1">
      <x:c r="A50" s="20"/>
      <x:c r="B50" s="20"/>
      <x:c r="C50" s="21" t="s">
        <x:v>13</x:v>
      </x:c>
      <x:c r="D50" s="21" t="s">
        <x:v>9</x:v>
      </x:c>
      <x:c r="E50" s="21" t="s">
        <x:v>86</x:v>
      </x:c>
      <x:c r="F50" s="21" t="s">
        <x:v>87</x:v>
      </x:c>
      <x:c r="G50" s="21">
        <x:v>6</x:v>
      </x:c>
      <x:c r="H50" s="21" t="s">
        <x:v>448</x:v>
      </x:c>
      <x:c r="I50" s="21" t="s">
        <x:v>542</x:v>
      </x:c>
      <x:c r="J50" s="21" t="s">
        <x:v>543</x:v>
      </x:c>
      <x:c r="K50" s="21" t="s">
        <x:v>544</x:v>
      </x:c>
      <x:c r="L50" s="21" t="s">
        <x:v>545</x:v>
      </x:c>
      <x:c r="M50" s="21" t="s">
        <x:v>546</x:v>
      </x:c>
    </x:row>
    <x:row r="51" ht="28.5" customHeight="1">
      <x:c r="A51" s="20"/>
      <x:c r="B51" s="20"/>
      <x:c r="C51" s="21" t="s">
        <x:v>13</x:v>
      </x:c>
      <x:c r="D51" s="21" t="s">
        <x:v>9</x:v>
      </x:c>
      <x:c r="E51" s="21" t="s">
        <x:v>86</x:v>
      </x:c>
      <x:c r="F51" s="21" t="s">
        <x:v>87</x:v>
      </x:c>
      <x:c r="G51" s="21">
        <x:v>7</x:v>
      </x:c>
      <x:c r="H51" s="21" t="s">
        <x:v>118</x:v>
      </x:c>
      <x:c r="I51" s="21" t="s">
        <x:v>547</x:v>
      </x:c>
      <x:c r="J51" s="21" t="s">
        <x:v>548</x:v>
      </x:c>
      <x:c r="K51" s="21" t="s">
        <x:v>549</x:v>
      </x:c>
      <x:c r="L51" s="21" t="s">
        <x:v>550</x:v>
      </x:c>
      <x:c r="M51" s="21" t="s">
        <x:v>551</x:v>
      </x:c>
    </x:row>
    <x:row r="52" ht="28.5" customHeight="1">
      <x:c r="A52" s="20"/>
      <x:c r="B52" s="20"/>
      <x:c r="C52" s="21" t="s">
        <x:v>13</x:v>
      </x:c>
      <x:c r="D52" s="21" t="s">
        <x:v>9</x:v>
      </x:c>
      <x:c r="E52" s="21" t="s">
        <x:v>86</x:v>
      </x:c>
      <x:c r="F52" s="21" t="s">
        <x:v>87</x:v>
      </x:c>
      <x:c r="G52" s="21">
        <x:v>8</x:v>
      </x:c>
      <x:c r="H52" s="21" t="s">
        <x:v>103</x:v>
      </x:c>
      <x:c r="I52" s="21" t="s">
        <x:v>552</x:v>
      </x:c>
      <x:c r="J52" s="21" t="s">
        <x:v>553</x:v>
      </x:c>
      <x:c r="K52" s="21" t="s">
        <x:v>554</x:v>
      </x:c>
      <x:c r="L52" s="21" t="s">
        <x:v>555</x:v>
      </x:c>
      <x:c r="M52" s="21" t="s">
        <x:v>556</x:v>
      </x:c>
    </x:row>
    <x:row r="53" ht="28.5" customHeight="1">
      <x:c r="A53" s="20"/>
      <x:c r="B53" s="20"/>
      <x:c r="C53" s="21" t="s">
        <x:v>13</x:v>
      </x:c>
      <x:c r="D53" s="21" t="s">
        <x:v>9</x:v>
      </x:c>
      <x:c r="E53" s="21" t="s">
        <x:v>94</x:v>
      </x:c>
      <x:c r="F53" s="21" t="s">
        <x:v>87</x:v>
      </x:c>
      <x:c r="G53" s="21">
        <x:v>1</x:v>
      </x:c>
      <x:c r="H53" s="21" t="s">
        <x:v>95</x:v>
      </x:c>
      <x:c r="I53" s="21" t="s">
        <x:v>96</x:v>
      </x:c>
      <x:c r="J53" s="21" t="s">
        <x:v>97</x:v>
      </x:c>
      <x:c r="K53" s="21" t="s">
        <x:v>91</x:v>
      </x:c>
      <x:c r="L53" s="21" t="s">
        <x:v>92</x:v>
      </x:c>
      <x:c r="M53" s="21" t="s">
        <x:v>93</x:v>
      </x:c>
    </x:row>
    <x:row r="54" ht="28.5" customHeight="1">
      <x:c r="A54" s="20"/>
      <x:c r="B54" s="20"/>
      <x:c r="C54" s="21" t="s">
        <x:v>13</x:v>
      </x:c>
      <x:c r="D54" s="21" t="s">
        <x:v>9</x:v>
      </x:c>
      <x:c r="E54" s="21" t="s">
        <x:v>94</x:v>
      </x:c>
      <x:c r="F54" s="21" t="s">
        <x:v>87</x:v>
      </x:c>
      <x:c r="G54" s="21">
        <x:v>2</x:v>
      </x:c>
      <x:c r="H54" s="21" t="s">
        <x:v>80</x:v>
      </x:c>
      <x:c r="I54" s="21" t="s">
        <x:v>557</x:v>
      </x:c>
      <x:c r="J54" s="21" t="s">
        <x:v>558</x:v>
      </x:c>
      <x:c r="K54" s="21" t="s">
        <x:v>559</x:v>
      </x:c>
      <x:c r="L54" s="21" t="s">
        <x:v>560</x:v>
      </x:c>
      <x:c r="M54" s="21" t="s">
        <x:v>561</x:v>
      </x:c>
    </x:row>
    <x:row r="55" ht="28.5" customHeight="1">
      <x:c r="A55" s="20"/>
      <x:c r="B55" s="20"/>
      <x:c r="C55" s="21" t="s">
        <x:v>13</x:v>
      </x:c>
      <x:c r="D55" s="21" t="s">
        <x:v>9</x:v>
      </x:c>
      <x:c r="E55" s="21" t="s">
        <x:v>94</x:v>
      </x:c>
      <x:c r="F55" s="21" t="s">
        <x:v>87</x:v>
      </x:c>
      <x:c r="G55" s="21">
        <x:v>3</x:v>
      </x:c>
      <x:c r="H55" s="21" t="s">
        <x:v>562</x:v>
      </x:c>
      <x:c r="I55" s="21" t="s">
        <x:v>563</x:v>
      </x:c>
      <x:c r="J55" s="21" t="s">
        <x:v>564</x:v>
      </x:c>
      <x:c r="K55" s="21" t="s">
        <x:v>565</x:v>
      </x:c>
      <x:c r="L55" s="21" t="s">
        <x:v>566</x:v>
      </x:c>
      <x:c r="M55" s="21" t="s">
        <x:v>567</x:v>
      </x:c>
    </x:row>
    <x:row r="56" ht="28.5" customHeight="1">
      <x:c r="A56" s="20"/>
      <x:c r="B56" s="20"/>
      <x:c r="C56" s="21" t="s">
        <x:v>13</x:v>
      </x:c>
      <x:c r="D56" s="21" t="s">
        <x:v>9</x:v>
      </x:c>
      <x:c r="E56" s="21" t="s">
        <x:v>94</x:v>
      </x:c>
      <x:c r="F56" s="21" t="s">
        <x:v>87</x:v>
      </x:c>
      <x:c r="G56" s="21">
        <x:v>4</x:v>
      </x:c>
      <x:c r="H56" s="21" t="s">
        <x:v>136</x:v>
      </x:c>
      <x:c r="I56" s="21" t="s">
        <x:v>189</x:v>
      </x:c>
      <x:c r="J56" s="21" t="s">
        <x:v>568</x:v>
      </x:c>
      <x:c r="K56" s="21" t="s">
        <x:v>569</x:v>
      </x:c>
      <x:c r="L56" s="21" t="s">
        <x:v>570</x:v>
      </x:c>
      <x:c r="M56" s="21" t="s">
        <x:v>571</x:v>
      </x:c>
    </x:row>
    <x:row r="57" ht="28.5" customHeight="1">
      <x:c r="A57" s="20"/>
      <x:c r="B57" s="20"/>
      <x:c r="C57" s="21" t="s">
        <x:v>13</x:v>
      </x:c>
      <x:c r="D57" s="21" t="s">
        <x:v>9</x:v>
      </x:c>
      <x:c r="E57" s="21" t="s">
        <x:v>94</x:v>
      </x:c>
      <x:c r="F57" s="21" t="s">
        <x:v>87</x:v>
      </x:c>
      <x:c r="G57" s="21">
        <x:v>5</x:v>
      </x:c>
      <x:c r="H57" s="21" t="s">
        <x:v>136</x:v>
      </x:c>
      <x:c r="I57" s="21" t="s">
        <x:v>137</x:v>
      </x:c>
      <x:c r="J57" s="21" t="s">
        <x:v>572</x:v>
      </x:c>
      <x:c r="K57" s="21" t="s">
        <x:v>573</x:v>
      </x:c>
      <x:c r="L57" s="21" t="s">
        <x:v>574</x:v>
      </x:c>
      <x:c r="M57" s="21" t="s">
        <x:v>575</x:v>
      </x:c>
    </x:row>
    <x:row r="58" ht="28.5" customHeight="1">
      <x:c r="A58" s="20"/>
      <x:c r="B58" s="20"/>
      <x:c r="C58" s="21" t="s">
        <x:v>13</x:v>
      </x:c>
      <x:c r="D58" s="21" t="s">
        <x:v>9</x:v>
      </x:c>
      <x:c r="E58" s="21" t="s">
        <x:v>94</x:v>
      </x:c>
      <x:c r="F58" s="21" t="s">
        <x:v>87</x:v>
      </x:c>
      <x:c r="G58" s="21">
        <x:v>6</x:v>
      </x:c>
      <x:c r="H58" s="21" t="s">
        <x:v>118</x:v>
      </x:c>
      <x:c r="I58" s="21" t="s">
        <x:v>576</x:v>
      </x:c>
      <x:c r="J58" s="21" t="s">
        <x:v>577</x:v>
      </x:c>
      <x:c r="K58" s="21" t="s">
        <x:v>578</x:v>
      </x:c>
      <x:c r="L58" s="21" t="s">
        <x:v>579</x:v>
      </x:c>
      <x:c r="M58" s="21" t="s">
        <x:v>580</x:v>
      </x:c>
    </x:row>
    <x:row r="59" ht="28.5" customHeight="1">
      <x:c r="A59" s="20"/>
      <x:c r="B59" s="20"/>
      <x:c r="C59" s="21" t="s">
        <x:v>13</x:v>
      </x:c>
      <x:c r="D59" s="21" t="s">
        <x:v>9</x:v>
      </x:c>
      <x:c r="E59" s="21" t="s">
        <x:v>94</x:v>
      </x:c>
      <x:c r="F59" s="21" t="s">
        <x:v>87</x:v>
      </x:c>
      <x:c r="G59" s="21">
        <x:v>7</x:v>
      </x:c>
      <x:c r="H59" s="21" t="s">
        <x:v>118</x:v>
      </x:c>
      <x:c r="I59" s="21" t="s">
        <x:v>581</x:v>
      </x:c>
      <x:c r="J59" s="21" t="s">
        <x:v>582</x:v>
      </x:c>
      <x:c r="K59" s="21" t="s">
        <x:v>583</x:v>
      </x:c>
      <x:c r="L59" s="21" t="s">
        <x:v>584</x:v>
      </x:c>
      <x:c r="M59" s="21" t="s">
        <x:v>585</x:v>
      </x:c>
    </x:row>
    <x:row r="60" ht="28.5" customHeight="1">
      <x:c r="A60" s="20"/>
      <x:c r="B60" s="20"/>
      <x:c r="C60" s="21" t="s">
        <x:v>13</x:v>
      </x:c>
      <x:c r="D60" s="21" t="s">
        <x:v>9</x:v>
      </x:c>
      <x:c r="E60" s="21" t="s">
        <x:v>94</x:v>
      </x:c>
      <x:c r="F60" s="21" t="s">
        <x:v>87</x:v>
      </x:c>
      <x:c r="G60" s="21">
        <x:v>8</x:v>
      </x:c>
      <x:c r="H60" s="21" t="s">
        <x:v>103</x:v>
      </x:c>
      <x:c r="I60" s="21" t="s">
        <x:v>586</x:v>
      </x:c>
      <x:c r="J60" s="21" t="s">
        <x:v>587</x:v>
      </x:c>
      <x:c r="K60" s="21" t="s">
        <x:v>588</x:v>
      </x:c>
      <x:c r="L60" s="21" t="s">
        <x:v>589</x:v>
      </x:c>
      <x:c r="M60" s="21" t="s">
        <x:v>590</x:v>
      </x:c>
    </x:row>
    <x:row r="61" ht="28.5" customHeight="1">
      <x:c r="A61" s="20"/>
      <x:c r="B61" s="20"/>
      <x:c r="C61" s="21" t="s">
        <x:v>13</x:v>
      </x:c>
      <x:c r="D61" s="21" t="s">
        <x:v>9</x:v>
      </x:c>
      <x:c r="E61" s="21" t="s">
        <x:v>109</x:v>
      </x:c>
      <x:c r="F61" s="21" t="s">
        <x:v>110</x:v>
      </x:c>
      <x:c r="G61" s="21">
        <x:v>1</x:v>
      </x:c>
      <x:c r="H61" s="21" t="s">
        <x:v>103</x:v>
      </x:c>
      <x:c r="I61" s="21" t="s">
        <x:v>111</x:v>
      </x:c>
      <x:c r="J61" s="21" t="s">
        <x:v>112</x:v>
      </x:c>
      <x:c r="K61" s="21" t="s">
        <x:v>106</x:v>
      </x:c>
      <x:c r="L61" s="21" t="s">
        <x:v>107</x:v>
      </x:c>
      <x:c r="M61" s="21" t="s">
        <x:v>108</x:v>
      </x:c>
    </x:row>
    <x:row r="62" ht="28.5" customHeight="1">
      <x:c r="A62" s="20"/>
      <x:c r="B62" s="20"/>
      <x:c r="C62" s="21" t="s">
        <x:v>13</x:v>
      </x:c>
      <x:c r="D62" s="21" t="s">
        <x:v>9</x:v>
      </x:c>
      <x:c r="E62" s="21" t="s">
        <x:v>109</x:v>
      </x:c>
      <x:c r="F62" s="21" t="s">
        <x:v>110</x:v>
      </x:c>
      <x:c r="G62" s="21">
        <x:v>2</x:v>
      </x:c>
      <x:c r="H62" s="21" t="s">
        <x:v>103</x:v>
      </x:c>
      <x:c r="I62" s="21" t="s">
        <x:v>591</x:v>
      </x:c>
      <x:c r="J62" s="21" t="s">
        <x:v>592</x:v>
      </x:c>
      <x:c r="K62" s="21" t="s">
        <x:v>593</x:v>
      </x:c>
      <x:c r="L62" s="21" t="s">
        <x:v>594</x:v>
      </x:c>
      <x:c r="M62" s="21" t="s">
        <x:v>595</x:v>
      </x:c>
    </x:row>
    <x:row r="63" ht="28.5" customHeight="1">
      <x:c r="A63" s="20"/>
      <x:c r="B63" s="20"/>
      <x:c r="C63" s="21" t="s">
        <x:v>13</x:v>
      </x:c>
      <x:c r="D63" s="21" t="s">
        <x:v>9</x:v>
      </x:c>
      <x:c r="E63" s="21" t="s">
        <x:v>109</x:v>
      </x:c>
      <x:c r="F63" s="21" t="s">
        <x:v>110</x:v>
      </x:c>
      <x:c r="G63" s="21">
        <x:v>3</x:v>
      </x:c>
      <x:c r="H63" s="21" t="s">
        <x:v>448</x:v>
      </x:c>
      <x:c r="I63" s="21" t="s">
        <x:v>596</x:v>
      </x:c>
      <x:c r="J63" s="21" t="s">
        <x:v>597</x:v>
      </x:c>
      <x:c r="K63" s="21" t="s">
        <x:v>598</x:v>
      </x:c>
      <x:c r="L63" s="21" t="s">
        <x:v>599</x:v>
      </x:c>
      <x:c r="M63" s="21" t="s">
        <x:v>600</x:v>
      </x:c>
    </x:row>
    <x:row r="64" ht="28.5" customHeight="1">
      <x:c r="A64" s="20"/>
      <x:c r="B64" s="20"/>
      <x:c r="C64" s="21" t="s">
        <x:v>13</x:v>
      </x:c>
      <x:c r="D64" s="21" t="s">
        <x:v>9</x:v>
      </x:c>
      <x:c r="E64" s="21" t="s">
        <x:v>109</x:v>
      </x:c>
      <x:c r="F64" s="21" t="s">
        <x:v>110</x:v>
      </x:c>
      <x:c r="G64" s="21">
        <x:v>4</x:v>
      </x:c>
      <x:c r="H64" s="21" t="s">
        <x:v>130</x:v>
      </x:c>
      <x:c r="I64" s="21" t="s">
        <x:v>601</x:v>
      </x:c>
      <x:c r="J64" s="21" t="s">
        <x:v>602</x:v>
      </x:c>
      <x:c r="K64" s="21" t="s">
        <x:v>603</x:v>
      </x:c>
      <x:c r="L64" s="21" t="s">
        <x:v>604</x:v>
      </x:c>
      <x:c r="M64" s="21" t="s">
        <x:v>605</x:v>
      </x:c>
    </x:row>
    <x:row r="65" ht="28.5" customHeight="1">
      <x:c r="A65" s="20"/>
      <x:c r="B65" s="20"/>
      <x:c r="C65" s="21" t="s">
        <x:v>13</x:v>
      </x:c>
      <x:c r="D65" s="21" t="s">
        <x:v>9</x:v>
      </x:c>
      <x:c r="E65" s="21" t="s">
        <x:v>109</x:v>
      </x:c>
      <x:c r="F65" s="21" t="s">
        <x:v>110</x:v>
      </x:c>
      <x:c r="G65" s="21">
        <x:v>5</x:v>
      </x:c>
      <x:c r="H65" s="21" t="s">
        <x:v>606</x:v>
      </x:c>
      <x:c r="I65" s="21" t="s">
        <x:v>607</x:v>
      </x:c>
      <x:c r="J65" s="21" t="s">
        <x:v>608</x:v>
      </x:c>
      <x:c r="K65" s="21" t="s">
        <x:v>609</x:v>
      </x:c>
      <x:c r="L65" s="21" t="s">
        <x:v>610</x:v>
      </x:c>
      <x:c r="M65" s="21" t="s">
        <x:v>611</x:v>
      </x:c>
    </x:row>
    <x:row r="66" ht="28.5" customHeight="1">
      <x:c r="A66" s="20"/>
      <x:c r="B66" s="20"/>
      <x:c r="C66" s="21" t="s">
        <x:v>13</x:v>
      </x:c>
      <x:c r="D66" s="21" t="s">
        <x:v>9</x:v>
      </x:c>
      <x:c r="E66" s="21" t="s">
        <x:v>109</x:v>
      </x:c>
      <x:c r="F66" s="21" t="s">
        <x:v>110</x:v>
      </x:c>
      <x:c r="G66" s="21">
        <x:v>6</x:v>
      </x:c>
      <x:c r="H66" s="21" t="s">
        <x:v>168</x:v>
      </x:c>
      <x:c r="I66" s="21" t="s">
        <x:v>169</x:v>
      </x:c>
      <x:c r="J66" s="21" t="s">
        <x:v>170</x:v>
      </x:c>
      <x:c r="K66" s="21" t="s">
        <x:v>165</x:v>
      </x:c>
      <x:c r="L66" s="21" t="s">
        <x:v>166</x:v>
      </x:c>
      <x:c r="M66" s="21" t="s">
        <x:v>167</x:v>
      </x:c>
    </x:row>
    <x:row r="67" ht="28.5" customHeight="1">
      <x:c r="A67" s="20"/>
      <x:c r="B67" s="20"/>
      <x:c r="C67" s="21" t="s">
        <x:v>13</x:v>
      </x:c>
      <x:c r="D67" s="21" t="s">
        <x:v>9</x:v>
      </x:c>
      <x:c r="E67" s="21" t="s">
        <x:v>109</x:v>
      </x:c>
      <x:c r="F67" s="21" t="s">
        <x:v>110</x:v>
      </x:c>
      <x:c r="G67" s="21">
        <x:v>7</x:v>
      </x:c>
      <x:c r="H67" s="21" t="s">
        <x:v>136</x:v>
      </x:c>
      <x:c r="I67" s="21" t="s">
        <x:v>612</x:v>
      </x:c>
      <x:c r="J67" s="21" t="s">
        <x:v>613</x:v>
      </x:c>
      <x:c r="K67" s="21" t="s">
        <x:v>614</x:v>
      </x:c>
      <x:c r="L67" s="21" t="s">
        <x:v>615</x:v>
      </x:c>
      <x:c r="M67" s="21" t="s">
        <x:v>616</x:v>
      </x:c>
    </x:row>
    <x:row r="68" ht="28.5" customHeight="1">
      <x:c r="A68" s="20"/>
      <x:c r="B68" s="20"/>
      <x:c r="C68" s="21" t="s">
        <x:v>13</x:v>
      </x:c>
      <x:c r="D68" s="21" t="s">
        <x:v>9</x:v>
      </x:c>
      <x:c r="E68" s="21" t="s">
        <x:v>109</x:v>
      </x:c>
      <x:c r="F68" s="21" t="s">
        <x:v>110</x:v>
      </x:c>
      <x:c r="G68" s="21">
        <x:v>8</x:v>
      </x:c>
      <x:c r="H68" s="21" t="s">
        <x:v>118</x:v>
      </x:c>
      <x:c r="I68" s="21" t="s">
        <x:v>119</x:v>
      </x:c>
      <x:c r="J68" s="21" t="s">
        <x:v>617</x:v>
      </x:c>
      <x:c r="K68" s="21" t="s">
        <x:v>618</x:v>
      </x:c>
      <x:c r="L68" s="21" t="s">
        <x:v>619</x:v>
      </x:c>
      <x:c r="M68" s="21" t="s">
        <x:v>620</x:v>
      </x:c>
    </x:row>
    <x:row r="69" ht="28.5" customHeight="1">
      <x:c r="A69" s="20"/>
      <x:c r="B69" s="20"/>
      <x:c r="C69" s="21" t="s">
        <x:v>13</x:v>
      </x:c>
      <x:c r="D69" s="21" t="s">
        <x:v>15</x:v>
      </x:c>
      <x:c r="E69" s="21" t="s">
        <x:v>621</x:v>
      </x:c>
      <x:c r="F69" s="21" t="s">
        <x:v>374</x:v>
      </x:c>
      <x:c r="G69" s="21">
        <x:v>1</x:v>
      </x:c>
      <x:c r="H69" s="21" t="s">
        <x:v>622</x:v>
      </x:c>
      <x:c r="I69" s="21" t="s">
        <x:v>623</x:v>
      </x:c>
      <x:c r="J69" s="21" t="s">
        <x:v>624</x:v>
      </x:c>
      <x:c r="K69" s="21" t="s">
        <x:v>625</x:v>
      </x:c>
      <x:c r="L69" s="21" t="s">
        <x:v>626</x:v>
      </x:c>
      <x:c r="M69" s="21" t="s">
        <x:v>627</x:v>
      </x:c>
    </x:row>
    <x:row r="70" ht="28.5" customHeight="1">
      <x:c r="A70" s="20"/>
      <x:c r="B70" s="20"/>
      <x:c r="C70" s="21" t="s">
        <x:v>13</x:v>
      </x:c>
      <x:c r="D70" s="21" t="s">
        <x:v>15</x:v>
      </x:c>
      <x:c r="E70" s="21" t="s">
        <x:v>621</x:v>
      </x:c>
      <x:c r="F70" s="21" t="s">
        <x:v>374</x:v>
      </x:c>
      <x:c r="G70" s="21">
        <x:v>2</x:v>
      </x:c>
      <x:c r="H70" s="21" t="s">
        <x:v>628</x:v>
      </x:c>
      <x:c r="I70" s="21" t="s">
        <x:v>557</x:v>
      </x:c>
      <x:c r="J70" s="21" t="s">
        <x:v>629</x:v>
      </x:c>
      <x:c r="K70" s="21" t="s">
        <x:v>630</x:v>
      </x:c>
      <x:c r="L70" s="21" t="s">
        <x:v>631</x:v>
      </x:c>
      <x:c r="M70" s="21" t="s">
        <x:v>632</x:v>
      </x:c>
    </x:row>
    <x:row r="71" ht="28.5" customHeight="1">
      <x:c r="A71" s="20"/>
      <x:c r="B71" s="20"/>
      <x:c r="C71" s="21" t="s">
        <x:v>13</x:v>
      </x:c>
      <x:c r="D71" s="21" t="s">
        <x:v>15</x:v>
      </x:c>
      <x:c r="E71" s="21" t="s">
        <x:v>621</x:v>
      </x:c>
      <x:c r="F71" s="21" t="s">
        <x:v>374</x:v>
      </x:c>
      <x:c r="G71" s="21">
        <x:v>3</x:v>
      </x:c>
      <x:c r="H71" s="21" t="s">
        <x:v>628</x:v>
      </x:c>
      <x:c r="I71" s="21" t="s">
        <x:v>633</x:v>
      </x:c>
      <x:c r="J71" s="21" t="s">
        <x:v>634</x:v>
      </x:c>
      <x:c r="K71" s="21" t="s">
        <x:v>635</x:v>
      </x:c>
      <x:c r="L71" s="21" t="s">
        <x:v>636</x:v>
      </x:c>
      <x:c r="M71" s="21" t="s">
        <x:v>637</x:v>
      </x:c>
    </x:row>
    <x:row r="72" ht="28.5" customHeight="1">
      <x:c r="A72" s="20"/>
      <x:c r="B72" s="20"/>
      <x:c r="C72" s="21" t="s">
        <x:v>13</x:v>
      </x:c>
      <x:c r="D72" s="21" t="s">
        <x:v>15</x:v>
      </x:c>
      <x:c r="E72" s="21" t="s">
        <x:v>621</x:v>
      </x:c>
      <x:c r="F72" s="21" t="s">
        <x:v>374</x:v>
      </x:c>
      <x:c r="G72" s="21">
        <x:v>4</x:v>
      </x:c>
      <x:c r="H72" s="21" t="s">
        <x:v>638</x:v>
      </x:c>
      <x:c r="I72" s="21" t="s">
        <x:v>639</x:v>
      </x:c>
      <x:c r="J72" s="21" t="s">
        <x:v>640</x:v>
      </x:c>
      <x:c r="K72" s="21" t="s">
        <x:v>641</x:v>
      </x:c>
      <x:c r="L72" s="21" t="s">
        <x:v>642</x:v>
      </x:c>
      <x:c r="M72" s="21" t="s">
        <x:v>643</x:v>
      </x:c>
    </x:row>
    <x:row r="73" ht="28.5" customHeight="1">
      <x:c r="A73" s="20"/>
      <x:c r="B73" s="20"/>
      <x:c r="C73" s="21" t="s">
        <x:v>13</x:v>
      </x:c>
      <x:c r="D73" s="21" t="s">
        <x:v>15</x:v>
      </x:c>
      <x:c r="E73" s="21" t="s">
        <x:v>621</x:v>
      </x:c>
      <x:c r="F73" s="21" t="s">
        <x:v>374</x:v>
      </x:c>
      <x:c r="G73" s="21">
        <x:v>5</x:v>
      </x:c>
      <x:c r="H73" s="21" t="s">
        <x:v>644</x:v>
      </x:c>
      <x:c r="I73" s="21" t="s">
        <x:v>645</x:v>
      </x:c>
      <x:c r="J73" s="21" t="s">
        <x:v>646</x:v>
      </x:c>
      <x:c r="K73" s="21" t="s">
        <x:v>647</x:v>
      </x:c>
      <x:c r="L73" s="21" t="s">
        <x:v>648</x:v>
      </x:c>
      <x:c r="M73" s="21" t="s">
        <x:v>649</x:v>
      </x:c>
    </x:row>
    <x:row r="74" ht="28.5" customHeight="1">
      <x:c r="A74" s="20"/>
      <x:c r="B74" s="20"/>
      <x:c r="C74" s="21" t="s">
        <x:v>13</x:v>
      </x:c>
      <x:c r="D74" s="21" t="s">
        <x:v>15</x:v>
      </x:c>
      <x:c r="E74" s="21" t="s">
        <x:v>621</x:v>
      </x:c>
      <x:c r="F74" s="21" t="s">
        <x:v>374</x:v>
      </x:c>
      <x:c r="G74" s="21">
        <x:v>6</x:v>
      </x:c>
      <x:c r="H74" s="21" t="s">
        <x:v>650</x:v>
      </x:c>
      <x:c r="I74" s="21" t="s">
        <x:v>89</x:v>
      </x:c>
      <x:c r="J74" s="21" t="s">
        <x:v>651</x:v>
      </x:c>
      <x:c r="K74" s="21" t="s">
        <x:v>652</x:v>
      </x:c>
      <x:c r="L74" s="21" t="s">
        <x:v>653</x:v>
      </x:c>
      <x:c r="M74" s="21" t="s">
        <x:v>654</x:v>
      </x:c>
    </x:row>
    <x:row r="75" ht="28.5" customHeight="1">
      <x:c r="A75" s="20"/>
      <x:c r="B75" s="20"/>
      <x:c r="C75" s="21" t="s">
        <x:v>13</x:v>
      </x:c>
      <x:c r="D75" s="21" t="s">
        <x:v>15</x:v>
      </x:c>
      <x:c r="E75" s="21" t="s">
        <x:v>621</x:v>
      </x:c>
      <x:c r="F75" s="21" t="s">
        <x:v>374</x:v>
      </x:c>
      <x:c r="G75" s="21">
        <x:v>7</x:v>
      </x:c>
      <x:c r="H75" s="21" t="s">
        <x:v>655</x:v>
      </x:c>
      <x:c r="I75" s="21" t="s">
        <x:v>656</x:v>
      </x:c>
      <x:c r="J75" s="21" t="s">
        <x:v>657</x:v>
      </x:c>
      <x:c r="K75" s="21" t="s">
        <x:v>658</x:v>
      </x:c>
      <x:c r="L75" s="21" t="s">
        <x:v>659</x:v>
      </x:c>
      <x:c r="M75" s="21" t="s">
        <x:v>660</x:v>
      </x:c>
    </x:row>
    <x:row r="76" ht="28.5" customHeight="1">
      <x:c r="A76" s="20"/>
      <x:c r="B76" s="20"/>
      <x:c r="C76" s="21" t="s">
        <x:v>13</x:v>
      </x:c>
      <x:c r="D76" s="21" t="s">
        <x:v>15</x:v>
      </x:c>
      <x:c r="E76" s="21" t="s">
        <x:v>621</x:v>
      </x:c>
      <x:c r="F76" s="21" t="s">
        <x:v>374</x:v>
      </x:c>
      <x:c r="G76" s="21">
        <x:v>8</x:v>
      </x:c>
      <x:c r="H76" s="21" t="s">
        <x:v>188</x:v>
      </x:c>
      <x:c r="I76" s="21" t="s">
        <x:v>661</x:v>
      </x:c>
      <x:c r="J76" s="21" t="s">
        <x:v>662</x:v>
      </x:c>
      <x:c r="K76" s="21" t="s">
        <x:v>663</x:v>
      </x:c>
      <x:c r="L76" s="21" t="s">
        <x:v>664</x:v>
      </x:c>
      <x:c r="M76" s="21" t="s">
        <x:v>665</x:v>
      </x:c>
    </x:row>
    <x:row r="77" ht="28.5" customHeight="1">
      <x:c r="A77" s="20"/>
      <x:c r="B77" s="20"/>
      <x:c r="C77" s="21" t="s">
        <x:v>13</x:v>
      </x:c>
      <x:c r="D77" s="21" t="s">
        <x:v>15</x:v>
      </x:c>
      <x:c r="E77" s="21" t="s">
        <x:v>666</x:v>
      </x:c>
      <x:c r="F77" s="21" t="s">
        <x:v>374</x:v>
      </x:c>
      <x:c r="G77" s="21">
        <x:v>1</x:v>
      </x:c>
      <x:c r="H77" s="21" t="s">
        <x:v>667</x:v>
      </x:c>
      <x:c r="I77" s="21" t="s">
        <x:v>668</x:v>
      </x:c>
      <x:c r="J77" s="21" t="s">
        <x:v>669</x:v>
      </x:c>
      <x:c r="K77" s="21" t="s">
        <x:v>670</x:v>
      </x:c>
      <x:c r="L77" s="21" t="s">
        <x:v>671</x:v>
      </x:c>
      <x:c r="M77" s="21" t="s">
        <x:v>672</x:v>
      </x:c>
    </x:row>
    <x:row r="78" ht="28.5" customHeight="1">
      <x:c r="A78" s="20"/>
      <x:c r="B78" s="20"/>
      <x:c r="C78" s="21" t="s">
        <x:v>13</x:v>
      </x:c>
      <x:c r="D78" s="21" t="s">
        <x:v>15</x:v>
      </x:c>
      <x:c r="E78" s="21" t="s">
        <x:v>666</x:v>
      </x:c>
      <x:c r="F78" s="21" t="s">
        <x:v>374</x:v>
      </x:c>
      <x:c r="G78" s="21">
        <x:v>2</x:v>
      </x:c>
      <x:c r="H78" s="21" t="s">
        <x:v>673</x:v>
      </x:c>
      <x:c r="I78" s="21" t="s">
        <x:v>674</x:v>
      </x:c>
      <x:c r="J78" s="21" t="s">
        <x:v>675</x:v>
      </x:c>
      <x:c r="K78" s="21" t="s">
        <x:v>676</x:v>
      </x:c>
      <x:c r="L78" s="21" t="s">
        <x:v>677</x:v>
      </x:c>
      <x:c r="M78" s="21" t="s">
        <x:v>678</x:v>
      </x:c>
    </x:row>
    <x:row r="79" ht="28.5" customHeight="1">
      <x:c r="A79" s="20"/>
      <x:c r="B79" s="20"/>
      <x:c r="C79" s="21" t="s">
        <x:v>13</x:v>
      </x:c>
      <x:c r="D79" s="21" t="s">
        <x:v>15</x:v>
      </x:c>
      <x:c r="E79" s="21" t="s">
        <x:v>666</x:v>
      </x:c>
      <x:c r="F79" s="21" t="s">
        <x:v>374</x:v>
      </x:c>
      <x:c r="G79" s="21">
        <x:v>3</x:v>
      </x:c>
      <x:c r="H79" s="21" t="s">
        <x:v>622</x:v>
      </x:c>
      <x:c r="I79" s="21" t="s">
        <x:v>679</x:v>
      </x:c>
      <x:c r="J79" s="21" t="s">
        <x:v>680</x:v>
      </x:c>
      <x:c r="K79" s="21" t="s">
        <x:v>681</x:v>
      </x:c>
      <x:c r="L79" s="21" t="s">
        <x:v>682</x:v>
      </x:c>
      <x:c r="M79" s="21" t="s">
        <x:v>683</x:v>
      </x:c>
    </x:row>
    <x:row r="80" ht="28.5" customHeight="1">
      <x:c r="A80" s="20"/>
      <x:c r="B80" s="20"/>
      <x:c r="C80" s="21" t="s">
        <x:v>13</x:v>
      </x:c>
      <x:c r="D80" s="21" t="s">
        <x:v>15</x:v>
      </x:c>
      <x:c r="E80" s="21" t="s">
        <x:v>666</x:v>
      </x:c>
      <x:c r="F80" s="21" t="s">
        <x:v>374</x:v>
      </x:c>
      <x:c r="G80" s="21">
        <x:v>4</x:v>
      </x:c>
      <x:c r="H80" s="21" t="s">
        <x:v>684</x:v>
      </x:c>
      <x:c r="I80" s="21" t="s">
        <x:v>685</x:v>
      </x:c>
      <x:c r="J80" s="21" t="s">
        <x:v>686</x:v>
      </x:c>
      <x:c r="K80" s="21" t="s">
        <x:v>687</x:v>
      </x:c>
      <x:c r="L80" s="21" t="s">
        <x:v>688</x:v>
      </x:c>
      <x:c r="M80" s="21" t="s">
        <x:v>689</x:v>
      </x:c>
    </x:row>
    <x:row r="81" ht="28.5" customHeight="1">
      <x:c r="A81" s="20"/>
      <x:c r="B81" s="20"/>
      <x:c r="C81" s="21" t="s">
        <x:v>13</x:v>
      </x:c>
      <x:c r="D81" s="21" t="s">
        <x:v>15</x:v>
      </x:c>
      <x:c r="E81" s="21" t="s">
        <x:v>666</x:v>
      </x:c>
      <x:c r="F81" s="21" t="s">
        <x:v>374</x:v>
      </x:c>
      <x:c r="G81" s="21">
        <x:v>5</x:v>
      </x:c>
      <x:c r="H81" s="21" t="s">
        <x:v>690</x:v>
      </x:c>
      <x:c r="I81" s="21" t="s">
        <x:v>691</x:v>
      </x:c>
      <x:c r="J81" s="21" t="s">
        <x:v>692</x:v>
      </x:c>
      <x:c r="K81" s="21" t="s">
        <x:v>693</x:v>
      </x:c>
      <x:c r="L81" s="21" t="s">
        <x:v>694</x:v>
      </x:c>
      <x:c r="M81" s="21" t="s">
        <x:v>695</x:v>
      </x:c>
    </x:row>
    <x:row r="82" ht="28.5" customHeight="1">
      <x:c r="A82" s="20"/>
      <x:c r="B82" s="20"/>
      <x:c r="C82" s="21" t="s">
        <x:v>13</x:v>
      </x:c>
      <x:c r="D82" s="21" t="s">
        <x:v>15</x:v>
      </x:c>
      <x:c r="E82" s="21" t="s">
        <x:v>666</x:v>
      </x:c>
      <x:c r="F82" s="21" t="s">
        <x:v>374</x:v>
      </x:c>
      <x:c r="G82" s="21">
        <x:v>6</x:v>
      </x:c>
      <x:c r="H82" s="21" t="s">
        <x:v>673</x:v>
      </x:c>
      <x:c r="I82" s="21" t="s">
        <x:v>696</x:v>
      </x:c>
      <x:c r="J82" s="21" t="s">
        <x:v>697</x:v>
      </x:c>
      <x:c r="K82" s="21" t="s">
        <x:v>698</x:v>
      </x:c>
      <x:c r="L82" s="21" t="s">
        <x:v>699</x:v>
      </x:c>
      <x:c r="M82" s="21" t="s">
        <x:v>700</x:v>
      </x:c>
    </x:row>
    <x:row r="83" ht="28.5" customHeight="1">
      <x:c r="A83" s="20"/>
      <x:c r="B83" s="20"/>
      <x:c r="C83" s="21" t="s">
        <x:v>13</x:v>
      </x:c>
      <x:c r="D83" s="21" t="s">
        <x:v>15</x:v>
      </x:c>
      <x:c r="E83" s="21" t="s">
        <x:v>666</x:v>
      </x:c>
      <x:c r="F83" s="21" t="s">
        <x:v>374</x:v>
      </x:c>
      <x:c r="G83" s="21">
        <x:v>7</x:v>
      </x:c>
      <x:c r="H83" s="21" t="s">
        <x:v>701</x:v>
      </x:c>
      <x:c r="I83" s="21" t="s">
        <x:v>702</x:v>
      </x:c>
      <x:c r="J83" s="21" t="s">
        <x:v>703</x:v>
      </x:c>
      <x:c r="K83" s="21" t="s">
        <x:v>704</x:v>
      </x:c>
      <x:c r="L83" s="21" t="s">
        <x:v>705</x:v>
      </x:c>
      <x:c r="M83" s="21" t="s">
        <x:v>706</x:v>
      </x:c>
    </x:row>
    <x:row r="84" ht="28.5" customHeight="1">
      <x:c r="A84" s="20"/>
      <x:c r="B84" s="20"/>
      <x:c r="C84" s="21" t="s">
        <x:v>13</x:v>
      </x:c>
      <x:c r="D84" s="21" t="s">
        <x:v>15</x:v>
      </x:c>
      <x:c r="E84" s="21" t="s">
        <x:v>666</x:v>
      </x:c>
      <x:c r="F84" s="21" t="s">
        <x:v>374</x:v>
      </x:c>
      <x:c r="G84" s="21">
        <x:v>8</x:v>
      </x:c>
      <x:c r="H84" s="21" t="s">
        <x:v>707</x:v>
      </x:c>
      <x:c r="I84" s="21" t="s">
        <x:v>708</x:v>
      </x:c>
      <x:c r="J84" s="21" t="s">
        <x:v>709</x:v>
      </x:c>
      <x:c r="K84" s="21" t="s">
        <x:v>710</x:v>
      </x:c>
      <x:c r="L84" s="21" t="s">
        <x:v>711</x:v>
      </x:c>
      <x:c r="M84" s="21" t="s">
        <x:v>712</x:v>
      </x:c>
    </x:row>
    <x:row r="85" ht="28.5" customHeight="1">
      <x:c r="A85" s="20"/>
      <x:c r="B85" s="20"/>
      <x:c r="C85" s="21" t="s">
        <x:v>13</x:v>
      </x:c>
      <x:c r="D85" s="21" t="s">
        <x:v>15</x:v>
      </x:c>
      <x:c r="E85" s="21" t="s">
        <x:v>713</x:v>
      </x:c>
      <x:c r="F85" s="21" t="s">
        <x:v>102</x:v>
      </x:c>
      <x:c r="G85" s="21">
        <x:v>1</x:v>
      </x:c>
      <x:c r="H85" s="21" t="s">
        <x:v>714</x:v>
      </x:c>
      <x:c r="I85" s="21" t="s">
        <x:v>715</x:v>
      </x:c>
      <x:c r="J85" s="21" t="s">
        <x:v>716</x:v>
      </x:c>
      <x:c r="K85" s="21" t="s">
        <x:v>717</x:v>
      </x:c>
      <x:c r="L85" s="21" t="s">
        <x:v>718</x:v>
      </x:c>
      <x:c r="M85" s="21" t="s">
        <x:v>719</x:v>
      </x:c>
    </x:row>
    <x:row r="86" ht="28.5" customHeight="1">
      <x:c r="A86" s="20"/>
      <x:c r="B86" s="20"/>
      <x:c r="C86" s="21" t="s">
        <x:v>13</x:v>
      </x:c>
      <x:c r="D86" s="21" t="s">
        <x:v>15</x:v>
      </x:c>
      <x:c r="E86" s="21" t="s">
        <x:v>713</x:v>
      </x:c>
      <x:c r="F86" s="21" t="s">
        <x:v>102</x:v>
      </x:c>
      <x:c r="G86" s="21">
        <x:v>2</x:v>
      </x:c>
      <x:c r="H86" s="21" t="s">
        <x:v>720</x:v>
      </x:c>
      <x:c r="I86" s="21" t="s">
        <x:v>721</x:v>
      </x:c>
      <x:c r="J86" s="21" t="s">
        <x:v>722</x:v>
      </x:c>
      <x:c r="K86" s="21" t="s">
        <x:v>723</x:v>
      </x:c>
      <x:c r="L86" s="21" t="s">
        <x:v>724</x:v>
      </x:c>
      <x:c r="M86" s="21" t="s">
        <x:v>725</x:v>
      </x:c>
    </x:row>
    <x:row r="87" ht="28.5" customHeight="1">
      <x:c r="A87" s="20"/>
      <x:c r="B87" s="20"/>
      <x:c r="C87" s="21" t="s">
        <x:v>13</x:v>
      </x:c>
      <x:c r="D87" s="21" t="s">
        <x:v>15</x:v>
      </x:c>
      <x:c r="E87" s="21" t="s">
        <x:v>713</x:v>
      </x:c>
      <x:c r="F87" s="21" t="s">
        <x:v>102</x:v>
      </x:c>
      <x:c r="G87" s="21">
        <x:v>3</x:v>
      </x:c>
      <x:c r="H87" s="21" t="s">
        <x:v>726</x:v>
      </x:c>
      <x:c r="I87" s="21" t="s">
        <x:v>727</x:v>
      </x:c>
      <x:c r="J87" s="21" t="s">
        <x:v>728</x:v>
      </x:c>
      <x:c r="K87" s="21" t="s">
        <x:v>729</x:v>
      </x:c>
      <x:c r="L87" s="21" t="s">
        <x:v>730</x:v>
      </x:c>
      <x:c r="M87" s="21" t="s">
        <x:v>731</x:v>
      </x:c>
    </x:row>
    <x:row r="88" ht="28.5" customHeight="1">
      <x:c r="A88" s="20"/>
      <x:c r="B88" s="20"/>
      <x:c r="C88" s="21" t="s">
        <x:v>13</x:v>
      </x:c>
      <x:c r="D88" s="21" t="s">
        <x:v>15</x:v>
      </x:c>
      <x:c r="E88" s="21" t="s">
        <x:v>713</x:v>
      </x:c>
      <x:c r="F88" s="21" t="s">
        <x:v>102</x:v>
      </x:c>
      <x:c r="G88" s="21">
        <x:v>4</x:v>
      </x:c>
      <x:c r="H88" s="21" t="s">
        <x:v>638</x:v>
      </x:c>
      <x:c r="I88" s="21" t="s">
        <x:v>639</x:v>
      </x:c>
      <x:c r="J88" s="21" t="s">
        <x:v>732</x:v>
      </x:c>
      <x:c r="K88" s="21" t="s">
        <x:v>641</x:v>
      </x:c>
      <x:c r="L88" s="21" t="s">
        <x:v>642</x:v>
      </x:c>
      <x:c r="M88" s="21" t="s">
        <x:v>733</x:v>
      </x:c>
    </x:row>
    <x:row r="89" ht="28.5" customHeight="1">
      <x:c r="A89" s="20"/>
      <x:c r="B89" s="20"/>
      <x:c r="C89" s="21" t="s">
        <x:v>13</x:v>
      </x:c>
      <x:c r="D89" s="21" t="s">
        <x:v>15</x:v>
      </x:c>
      <x:c r="E89" s="21" t="s">
        <x:v>713</x:v>
      </x:c>
      <x:c r="F89" s="21" t="s">
        <x:v>102</x:v>
      </x:c>
      <x:c r="G89" s="21">
        <x:v>5</x:v>
      </x:c>
      <x:c r="H89" s="21" t="s">
        <x:v>720</x:v>
      </x:c>
      <x:c r="I89" s="21" t="s">
        <x:v>734</x:v>
      </x:c>
      <x:c r="J89" s="21" t="s">
        <x:v>735</x:v>
      </x:c>
      <x:c r="K89" s="21" t="s">
        <x:v>736</x:v>
      </x:c>
      <x:c r="L89" s="21" t="s">
        <x:v>737</x:v>
      </x:c>
      <x:c r="M89" s="21" t="s">
        <x:v>738</x:v>
      </x:c>
    </x:row>
    <x:row r="90" ht="28.5" customHeight="1">
      <x:c r="A90" s="20"/>
      <x:c r="B90" s="20"/>
      <x:c r="C90" s="21" t="s">
        <x:v>13</x:v>
      </x:c>
      <x:c r="D90" s="21" t="s">
        <x:v>15</x:v>
      </x:c>
      <x:c r="E90" s="21" t="s">
        <x:v>713</x:v>
      </x:c>
      <x:c r="F90" s="21" t="s">
        <x:v>102</x:v>
      </x:c>
      <x:c r="G90" s="21">
        <x:v>6</x:v>
      </x:c>
      <x:c r="H90" s="21" t="s">
        <x:v>667</x:v>
      </x:c>
      <x:c r="I90" s="21" t="s">
        <x:v>739</x:v>
      </x:c>
      <x:c r="J90" s="21" t="s">
        <x:v>740</x:v>
      </x:c>
      <x:c r="K90" s="21" t="s">
        <x:v>741</x:v>
      </x:c>
      <x:c r="L90" s="21" t="s">
        <x:v>742</x:v>
      </x:c>
      <x:c r="M90" s="21" t="s">
        <x:v>743</x:v>
      </x:c>
    </x:row>
    <x:row r="91" ht="28.5" customHeight="1">
      <x:c r="A91" s="20"/>
      <x:c r="B91" s="20"/>
      <x:c r="C91" s="21" t="s">
        <x:v>13</x:v>
      </x:c>
      <x:c r="D91" s="21" t="s">
        <x:v>15</x:v>
      </x:c>
      <x:c r="E91" s="21" t="s">
        <x:v>713</x:v>
      </x:c>
      <x:c r="F91" s="21" t="s">
        <x:v>102</x:v>
      </x:c>
      <x:c r="G91" s="21">
        <x:v>7</x:v>
      </x:c>
      <x:c r="H91" s="21" t="s">
        <x:v>707</x:v>
      </x:c>
      <x:c r="I91" s="21" t="s">
        <x:v>744</x:v>
      </x:c>
      <x:c r="J91" s="21" t="s">
        <x:v>745</x:v>
      </x:c>
      <x:c r="K91" s="21" t="s">
        <x:v>746</x:v>
      </x:c>
      <x:c r="L91" s="21" t="s">
        <x:v>747</x:v>
      </x:c>
      <x:c r="M91" s="21" t="s">
        <x:v>748</x:v>
      </x:c>
    </x:row>
    <x:row r="92" ht="28.5" customHeight="1">
      <x:c r="A92" s="20"/>
      <x:c r="B92" s="20"/>
      <x:c r="C92" s="21" t="s">
        <x:v>13</x:v>
      </x:c>
      <x:c r="D92" s="21" t="s">
        <x:v>15</x:v>
      </x:c>
      <x:c r="E92" s="21" t="s">
        <x:v>713</x:v>
      </x:c>
      <x:c r="F92" s="21" t="s">
        <x:v>102</x:v>
      </x:c>
      <x:c r="G92" s="21">
        <x:v>8</x:v>
      </x:c>
      <x:c r="H92" s="21" t="s">
        <x:v>749</x:v>
      </x:c>
      <x:c r="I92" s="21" t="s">
        <x:v>750</x:v>
      </x:c>
      <x:c r="J92" s="21" t="s">
        <x:v>751</x:v>
      </x:c>
      <x:c r="K92" s="21" t="s">
        <x:v>752</x:v>
      </x:c>
      <x:c r="L92" s="21" t="s">
        <x:v>753</x:v>
      </x:c>
      <x:c r="M92" s="21" t="s">
        <x:v>754</x:v>
      </x:c>
    </x:row>
    <x:row r="93" ht="28.5" customHeight="1">
      <x:c r="A93" s="20"/>
      <x:c r="B93" s="20"/>
      <x:c r="C93" s="21" t="s">
        <x:v>13</x:v>
      </x:c>
      <x:c r="D93" s="21" t="s">
        <x:v>15</x:v>
      </x:c>
      <x:c r="E93" s="21" t="s">
        <x:v>755</x:v>
      </x:c>
      <x:c r="F93" s="21" t="s">
        <x:v>756</x:v>
      </x:c>
      <x:c r="G93" s="21">
        <x:v>1</x:v>
      </x:c>
      <x:c r="H93" s="21" t="s">
        <x:v>757</x:v>
      </x:c>
      <x:c r="I93" s="21" t="s">
        <x:v>520</x:v>
      </x:c>
      <x:c r="J93" s="21" t="s">
        <x:v>758</x:v>
      </x:c>
      <x:c r="K93" s="21" t="s">
        <x:v>759</x:v>
      </x:c>
      <x:c r="L93" s="21" t="s">
        <x:v>760</x:v>
      </x:c>
      <x:c r="M93" s="21" t="s">
        <x:v>761</x:v>
      </x:c>
    </x:row>
    <x:row r="94" ht="28.5" customHeight="1">
      <x:c r="A94" s="20"/>
      <x:c r="B94" s="20"/>
      <x:c r="C94" s="21" t="s">
        <x:v>13</x:v>
      </x:c>
      <x:c r="D94" s="21" t="s">
        <x:v>15</x:v>
      </x:c>
      <x:c r="E94" s="21" t="s">
        <x:v>755</x:v>
      </x:c>
      <x:c r="F94" s="21" t="s">
        <x:v>756</x:v>
      </x:c>
      <x:c r="G94" s="21">
        <x:v>2</x:v>
      </x:c>
      <x:c r="H94" s="21" t="s">
        <x:v>762</x:v>
      </x:c>
      <x:c r="I94" s="21" t="s">
        <x:v>763</x:v>
      </x:c>
      <x:c r="J94" s="21" t="s">
        <x:v>764</x:v>
      </x:c>
      <x:c r="K94" s="21" t="s">
        <x:v>765</x:v>
      </x:c>
      <x:c r="L94" s="21" t="s">
        <x:v>766</x:v>
      </x:c>
      <x:c r="M94" s="21" t="s">
        <x:v>767</x:v>
      </x:c>
    </x:row>
    <x:row r="95" ht="28.5" customHeight="1">
      <x:c r="A95" s="20"/>
      <x:c r="B95" s="20"/>
      <x:c r="C95" s="21" t="s">
        <x:v>13</x:v>
      </x:c>
      <x:c r="D95" s="21" t="s">
        <x:v>15</x:v>
      </x:c>
      <x:c r="E95" s="21" t="s">
        <x:v>755</x:v>
      </x:c>
      <x:c r="F95" s="21" t="s">
        <x:v>756</x:v>
      </x:c>
      <x:c r="G95" s="21">
        <x:v>3</x:v>
      </x:c>
      <x:c r="H95" s="21" t="s">
        <x:v>720</x:v>
      </x:c>
      <x:c r="I95" s="21" t="s">
        <x:v>768</x:v>
      </x:c>
      <x:c r="J95" s="21" t="s">
        <x:v>769</x:v>
      </x:c>
      <x:c r="K95" s="21" t="s">
        <x:v>770</x:v>
      </x:c>
      <x:c r="L95" s="21" t="s">
        <x:v>771</x:v>
      </x:c>
      <x:c r="M95" s="21" t="s">
        <x:v>772</x:v>
      </x:c>
    </x:row>
    <x:row r="96" ht="28.5" customHeight="1">
      <x:c r="A96" s="20"/>
      <x:c r="B96" s="20"/>
      <x:c r="C96" s="21" t="s">
        <x:v>13</x:v>
      </x:c>
      <x:c r="D96" s="21" t="s">
        <x:v>15</x:v>
      </x:c>
      <x:c r="E96" s="21" t="s">
        <x:v>755</x:v>
      </x:c>
      <x:c r="F96" s="21" t="s">
        <x:v>756</x:v>
      </x:c>
      <x:c r="G96" s="21">
        <x:v>4</x:v>
      </x:c>
      <x:c r="H96" s="21" t="s">
        <x:v>673</x:v>
      </x:c>
      <x:c r="I96" s="21" t="s">
        <x:v>773</x:v>
      </x:c>
      <x:c r="J96" s="21" t="s">
        <x:v>774</x:v>
      </x:c>
      <x:c r="K96" s="21" t="s">
        <x:v>775</x:v>
      </x:c>
      <x:c r="L96" s="21" t="s">
        <x:v>776</x:v>
      </x:c>
      <x:c r="M96" s="21" t="s">
        <x:v>777</x:v>
      </x:c>
    </x:row>
    <x:row r="97" ht="28.5" customHeight="1">
      <x:c r="A97" s="20"/>
      <x:c r="B97" s="20"/>
      <x:c r="C97" s="21" t="s">
        <x:v>13</x:v>
      </x:c>
      <x:c r="D97" s="21" t="s">
        <x:v>15</x:v>
      </x:c>
      <x:c r="E97" s="21" t="s">
        <x:v>755</x:v>
      </x:c>
      <x:c r="F97" s="21" t="s">
        <x:v>756</x:v>
      </x:c>
      <x:c r="G97" s="21">
        <x:v>5</x:v>
      </x:c>
      <x:c r="H97" s="21" t="s">
        <x:v>707</x:v>
      </x:c>
      <x:c r="I97" s="21" t="s">
        <x:v>552</x:v>
      </x:c>
      <x:c r="J97" s="21" t="s">
        <x:v>778</x:v>
      </x:c>
      <x:c r="K97" s="21" t="s">
        <x:v>779</x:v>
      </x:c>
      <x:c r="L97" s="21" t="s">
        <x:v>780</x:v>
      </x:c>
      <x:c r="M97" s="21" t="s">
        <x:v>781</x:v>
      </x:c>
    </x:row>
    <x:row r="98" ht="28.5" customHeight="1">
      <x:c r="A98" s="20"/>
      <x:c r="B98" s="20"/>
      <x:c r="C98" s="21" t="s">
        <x:v>13</x:v>
      </x:c>
      <x:c r="D98" s="21" t="s">
        <x:v>15</x:v>
      </x:c>
      <x:c r="E98" s="21" t="s">
        <x:v>755</x:v>
      </x:c>
      <x:c r="F98" s="21" t="s">
        <x:v>756</x:v>
      </x:c>
      <x:c r="G98" s="21">
        <x:v>6</x:v>
      </x:c>
      <x:c r="H98" s="21" t="s">
        <x:v>782</x:v>
      </x:c>
      <x:c r="I98" s="21" t="s">
        <x:v>783</x:v>
      </x:c>
      <x:c r="J98" s="21" t="s">
        <x:v>784</x:v>
      </x:c>
      <x:c r="K98" s="21" t="s">
        <x:v>785</x:v>
      </x:c>
      <x:c r="L98" s="21" t="s">
        <x:v>786</x:v>
      </x:c>
      <x:c r="M98" s="21" t="s">
        <x:v>787</x:v>
      </x:c>
    </x:row>
    <x:row r="99" ht="28.5" customHeight="1">
      <x:c r="A99" s="20"/>
      <x:c r="B99" s="20"/>
      <x:c r="C99" s="21" t="s">
        <x:v>13</x:v>
      </x:c>
      <x:c r="D99" s="21" t="s">
        <x:v>15</x:v>
      </x:c>
      <x:c r="E99" s="21" t="s">
        <x:v>755</x:v>
      </x:c>
      <x:c r="F99" s="21" t="s">
        <x:v>756</x:v>
      </x:c>
      <x:c r="G99" s="21">
        <x:v>7</x:v>
      </x:c>
      <x:c r="H99" s="21" t="s">
        <x:v>788</x:v>
      </x:c>
      <x:c r="I99" s="21" t="s">
        <x:v>789</x:v>
      </x:c>
      <x:c r="J99" s="21" t="s">
        <x:v>790</x:v>
      </x:c>
      <x:c r="K99" s="21" t="s">
        <x:v>791</x:v>
      </x:c>
      <x:c r="L99" s="21" t="s">
        <x:v>792</x:v>
      </x:c>
      <x:c r="M99" s="21" t="s">
        <x:v>793</x:v>
      </x:c>
    </x:row>
    <x:row r="100" ht="28.5" customHeight="1">
      <x:c r="A100" s="20"/>
      <x:c r="B100" s="20"/>
      <x:c r="C100" s="21" t="s">
        <x:v>13</x:v>
      </x:c>
      <x:c r="D100" s="21" t="s">
        <x:v>15</x:v>
      </x:c>
      <x:c r="E100" s="21" t="s">
        <x:v>755</x:v>
      </x:c>
      <x:c r="F100" s="21" t="s">
        <x:v>756</x:v>
      </x:c>
      <x:c r="G100" s="21">
        <x:v>8</x:v>
      </x:c>
      <x:c r="H100" s="21" t="s">
        <x:v>622</x:v>
      </x:c>
      <x:c r="I100" s="21" t="s">
        <x:v>794</x:v>
      </x:c>
      <x:c r="J100" s="21" t="s">
        <x:v>795</x:v>
      </x:c>
      <x:c r="K100" s="21" t="s">
        <x:v>796</x:v>
      </x:c>
      <x:c r="L100" s="21" t="s">
        <x:v>797</x:v>
      </x:c>
      <x:c r="M100" s="21" t="s">
        <x:v>798</x:v>
      </x:c>
    </x:row>
    <x:row r="101" ht="28.5" customHeight="1">
      <x:c r="A101" s="20"/>
      <x:c r="B101" s="20"/>
      <x:c r="C101" s="21" t="s">
        <x:v>13</x:v>
      </x:c>
      <x:c r="D101" s="21" t="s">
        <x:v>15</x:v>
      </x:c>
      <x:c r="E101" s="21" t="s">
        <x:v>799</x:v>
      </x:c>
      <x:c r="F101" s="21" t="s">
        <x:v>756</x:v>
      </x:c>
      <x:c r="G101" s="21">
        <x:v>1</x:v>
      </x:c>
      <x:c r="H101" s="21" t="s">
        <x:v>707</x:v>
      </x:c>
      <x:c r="I101" s="21" t="s">
        <x:v>800</x:v>
      </x:c>
      <x:c r="J101" s="21" t="s">
        <x:v>801</x:v>
      </x:c>
      <x:c r="K101" s="21" t="s">
        <x:v>802</x:v>
      </x:c>
      <x:c r="L101" s="21" t="s">
        <x:v>803</x:v>
      </x:c>
      <x:c r="M101" s="21" t="s">
        <x:v>804</x:v>
      </x:c>
    </x:row>
    <x:row r="102" ht="28.5" customHeight="1">
      <x:c r="A102" s="20"/>
      <x:c r="B102" s="20"/>
      <x:c r="C102" s="21" t="s">
        <x:v>13</x:v>
      </x:c>
      <x:c r="D102" s="21" t="s">
        <x:v>15</x:v>
      </x:c>
      <x:c r="E102" s="21" t="s">
        <x:v>799</x:v>
      </x:c>
      <x:c r="F102" s="21" t="s">
        <x:v>756</x:v>
      </x:c>
      <x:c r="G102" s="21">
        <x:v>2</x:v>
      </x:c>
      <x:c r="H102" s="21" t="s">
        <x:v>726</x:v>
      </x:c>
      <x:c r="I102" s="21" t="s">
        <x:v>727</x:v>
      </x:c>
      <x:c r="J102" s="21" t="s">
        <x:v>805</x:v>
      </x:c>
      <x:c r="K102" s="21" t="s">
        <x:v>806</x:v>
      </x:c>
      <x:c r="L102" s="21" t="s">
        <x:v>807</x:v>
      </x:c>
      <x:c r="M102" s="21" t="s">
        <x:v>808</x:v>
      </x:c>
    </x:row>
    <x:row r="103" ht="28.5" customHeight="1">
      <x:c r="A103" s="20"/>
      <x:c r="B103" s="20"/>
      <x:c r="C103" s="21" t="s">
        <x:v>13</x:v>
      </x:c>
      <x:c r="D103" s="21" t="s">
        <x:v>15</x:v>
      </x:c>
      <x:c r="E103" s="21" t="s">
        <x:v>799</x:v>
      </x:c>
      <x:c r="F103" s="21" t="s">
        <x:v>756</x:v>
      </x:c>
      <x:c r="G103" s="21">
        <x:v>3</x:v>
      </x:c>
      <x:c r="H103" s="21" t="s">
        <x:v>628</x:v>
      </x:c>
      <x:c r="I103" s="21" t="s">
        <x:v>809</x:v>
      </x:c>
      <x:c r="J103" s="21" t="s">
        <x:v>810</x:v>
      </x:c>
      <x:c r="K103" s="21" t="s">
        <x:v>811</x:v>
      </x:c>
      <x:c r="L103" s="21" t="s">
        <x:v>812</x:v>
      </x:c>
      <x:c r="M103" s="21" t="s">
        <x:v>813</x:v>
      </x:c>
    </x:row>
    <x:row r="104" ht="28.5" customHeight="1">
      <x:c r="A104" s="20"/>
      <x:c r="B104" s="20"/>
      <x:c r="C104" s="21" t="s">
        <x:v>13</x:v>
      </x:c>
      <x:c r="D104" s="21" t="s">
        <x:v>15</x:v>
      </x:c>
      <x:c r="E104" s="21" t="s">
        <x:v>799</x:v>
      </x:c>
      <x:c r="F104" s="21" t="s">
        <x:v>756</x:v>
      </x:c>
      <x:c r="G104" s="21">
        <x:v>4</x:v>
      </x:c>
      <x:c r="H104" s="21" t="s">
        <x:v>814</x:v>
      </x:c>
      <x:c r="I104" s="21" t="s">
        <x:v>815</x:v>
      </x:c>
      <x:c r="J104" s="21" t="s">
        <x:v>816</x:v>
      </x:c>
      <x:c r="K104" s="21" t="s">
        <x:v>817</x:v>
      </x:c>
      <x:c r="L104" s="21" t="s">
        <x:v>818</x:v>
      </x:c>
      <x:c r="M104" s="21" t="s">
        <x:v>819</x:v>
      </x:c>
    </x:row>
    <x:row r="105" ht="28.5" customHeight="1">
      <x:c r="A105" s="20"/>
      <x:c r="B105" s="20"/>
      <x:c r="C105" s="21" t="s">
        <x:v>13</x:v>
      </x:c>
      <x:c r="D105" s="21" t="s">
        <x:v>15</x:v>
      </x:c>
      <x:c r="E105" s="21" t="s">
        <x:v>799</x:v>
      </x:c>
      <x:c r="F105" s="21" t="s">
        <x:v>756</x:v>
      </x:c>
      <x:c r="G105" s="21">
        <x:v>5</x:v>
      </x:c>
      <x:c r="H105" s="21" t="s">
        <x:v>757</x:v>
      </x:c>
      <x:c r="I105" s="21" t="s">
        <x:v>820</x:v>
      </x:c>
      <x:c r="J105" s="21" t="s">
        <x:v>821</x:v>
      </x:c>
      <x:c r="K105" s="21" t="s">
        <x:v>822</x:v>
      </x:c>
      <x:c r="L105" s="21" t="s">
        <x:v>823</x:v>
      </x:c>
      <x:c r="M105" s="21" t="s">
        <x:v>824</x:v>
      </x:c>
    </x:row>
    <x:row r="106" ht="28.5" customHeight="1">
      <x:c r="A106" s="20"/>
      <x:c r="B106" s="20"/>
      <x:c r="C106" s="21" t="s">
        <x:v>13</x:v>
      </x:c>
      <x:c r="D106" s="21" t="s">
        <x:v>15</x:v>
      </x:c>
      <x:c r="E106" s="21" t="s">
        <x:v>799</x:v>
      </x:c>
      <x:c r="F106" s="21" t="s">
        <x:v>756</x:v>
      </x:c>
      <x:c r="G106" s="21">
        <x:v>6</x:v>
      </x:c>
      <x:c r="H106" s="21" t="s">
        <x:v>757</x:v>
      </x:c>
      <x:c r="I106" s="21" t="s">
        <x:v>825</x:v>
      </x:c>
      <x:c r="J106" s="21" t="s">
        <x:v>826</x:v>
      </x:c>
      <x:c r="K106" s="21" t="s">
        <x:v>827</x:v>
      </x:c>
      <x:c r="L106" s="21" t="s">
        <x:v>828</x:v>
      </x:c>
      <x:c r="M106" s="21" t="s">
        <x:v>829</x:v>
      </x:c>
    </x:row>
    <x:row r="107" ht="28.5" customHeight="1">
      <x:c r="A107" s="20"/>
      <x:c r="B107" s="20"/>
      <x:c r="C107" s="21" t="s">
        <x:v>13</x:v>
      </x:c>
      <x:c r="D107" s="21" t="s">
        <x:v>15</x:v>
      </x:c>
      <x:c r="E107" s="21" t="s">
        <x:v>799</x:v>
      </x:c>
      <x:c r="F107" s="21" t="s">
        <x:v>756</x:v>
      </x:c>
      <x:c r="G107" s="21">
        <x:v>7</x:v>
      </x:c>
      <x:c r="H107" s="21" t="s">
        <x:v>188</x:v>
      </x:c>
      <x:c r="I107" s="21" t="s">
        <x:v>830</x:v>
      </x:c>
      <x:c r="J107" s="21" t="s">
        <x:v>831</x:v>
      </x:c>
      <x:c r="K107" s="21" t="s">
        <x:v>832</x:v>
      </x:c>
      <x:c r="L107" s="21" t="s">
        <x:v>833</x:v>
      </x:c>
      <x:c r="M107" s="21" t="s">
        <x:v>834</x:v>
      </x:c>
    </x:row>
    <x:row r="108" ht="28.5" customHeight="1">
      <x:c r="A108" s="20"/>
      <x:c r="B108" s="20"/>
      <x:c r="C108" s="21" t="s">
        <x:v>13</x:v>
      </x:c>
      <x:c r="D108" s="21" t="s">
        <x:v>15</x:v>
      </x:c>
      <x:c r="E108" s="21" t="s">
        <x:v>799</x:v>
      </x:c>
      <x:c r="F108" s="21" t="s">
        <x:v>756</x:v>
      </x:c>
      <x:c r="G108" s="21">
        <x:v>8</x:v>
      </x:c>
      <x:c r="H108" s="21" t="s">
        <x:v>188</x:v>
      </x:c>
      <x:c r="I108" s="21" t="s">
        <x:v>835</x:v>
      </x:c>
      <x:c r="J108" s="21" t="s">
        <x:v>836</x:v>
      </x:c>
      <x:c r="K108" s="21" t="s">
        <x:v>837</x:v>
      </x:c>
      <x:c r="L108" s="21" t="s">
        <x:v>838</x:v>
      </x:c>
      <x:c r="M108" s="21" t="s">
        <x:v>839</x:v>
      </x:c>
    </x:row>
    <x:row r="109" ht="28.5" customHeight="1">
      <x:c r="A109" s="20"/>
      <x:c r="B109" s="20"/>
      <x:c r="C109" s="21" t="s">
        <x:v>13</x:v>
      </x:c>
      <x:c r="D109" s="21" t="s">
        <x:v>15</x:v>
      </x:c>
      <x:c r="E109" s="21" t="s">
        <x:v>187</x:v>
      </x:c>
      <x:c r="F109" s="21" t="s">
        <x:v>149</x:v>
      </x:c>
      <x:c r="G109" s="21">
        <x:v>1</x:v>
      </x:c>
      <x:c r="H109" s="21" t="s">
        <x:v>720</x:v>
      </x:c>
      <x:c r="I109" s="21" t="s">
        <x:v>840</x:v>
      </x:c>
      <x:c r="J109" s="21" t="s">
        <x:v>841</x:v>
      </x:c>
      <x:c r="K109" s="21" t="s">
        <x:v>842</x:v>
      </x:c>
      <x:c r="L109" s="21" t="s">
        <x:v>843</x:v>
      </x:c>
      <x:c r="M109" s="21" t="s">
        <x:v>844</x:v>
      </x:c>
    </x:row>
    <x:row r="110" ht="28.5" customHeight="1">
      <x:c r="A110" s="20"/>
      <x:c r="B110" s="20"/>
      <x:c r="C110" s="21" t="s">
        <x:v>13</x:v>
      </x:c>
      <x:c r="D110" s="21" t="s">
        <x:v>15</x:v>
      </x:c>
      <x:c r="E110" s="21" t="s">
        <x:v>187</x:v>
      </x:c>
      <x:c r="F110" s="21" t="s">
        <x:v>149</x:v>
      </x:c>
      <x:c r="G110" s="21">
        <x:v>2</x:v>
      </x:c>
      <x:c r="H110" s="21" t="s">
        <x:v>188</x:v>
      </x:c>
      <x:c r="I110" s="21" t="s">
        <x:v>189</x:v>
      </x:c>
      <x:c r="J110" s="21" t="s">
        <x:v>190</x:v>
      </x:c>
      <x:c r="K110" s="21" t="s">
        <x:v>184</x:v>
      </x:c>
      <x:c r="L110" s="21" t="s">
        <x:v>185</x:v>
      </x:c>
      <x:c r="M110" s="21" t="s">
        <x:v>186</x:v>
      </x:c>
    </x:row>
    <x:row r="111" ht="28.5" customHeight="1">
      <x:c r="A111" s="20"/>
      <x:c r="B111" s="20"/>
      <x:c r="C111" s="21" t="s">
        <x:v>13</x:v>
      </x:c>
      <x:c r="D111" s="21" t="s">
        <x:v>15</x:v>
      </x:c>
      <x:c r="E111" s="21" t="s">
        <x:v>187</x:v>
      </x:c>
      <x:c r="F111" s="21" t="s">
        <x:v>149</x:v>
      </x:c>
      <x:c r="G111" s="21">
        <x:v>3</x:v>
      </x:c>
      <x:c r="H111" s="21" t="s">
        <x:v>782</x:v>
      </x:c>
      <x:c r="I111" s="21" t="s">
        <x:v>845</x:v>
      </x:c>
      <x:c r="J111" s="21" t="s">
        <x:v>846</x:v>
      </x:c>
      <x:c r="K111" s="21" t="s">
        <x:v>847</x:v>
      </x:c>
      <x:c r="L111" s="21" t="s">
        <x:v>848</x:v>
      </x:c>
      <x:c r="M111" s="21" t="s">
        <x:v>849</x:v>
      </x:c>
    </x:row>
    <x:row r="112" ht="28.5" customHeight="1">
      <x:c r="A112" s="20"/>
      <x:c r="B112" s="20"/>
      <x:c r="C112" s="21" t="s">
        <x:v>13</x:v>
      </x:c>
      <x:c r="D112" s="21" t="s">
        <x:v>15</x:v>
      </x:c>
      <x:c r="E112" s="21" t="s">
        <x:v>187</x:v>
      </x:c>
      <x:c r="F112" s="21" t="s">
        <x:v>149</x:v>
      </x:c>
      <x:c r="G112" s="21">
        <x:v>4</x:v>
      </x:c>
      <x:c r="H112" s="21" t="s">
        <x:v>655</x:v>
      </x:c>
      <x:c r="I112" s="21" t="s">
        <x:v>850</x:v>
      </x:c>
      <x:c r="J112" s="21" t="s">
        <x:v>851</x:v>
      </x:c>
      <x:c r="K112" s="21" t="s">
        <x:v>852</x:v>
      </x:c>
      <x:c r="L112" s="21" t="s">
        <x:v>853</x:v>
      </x:c>
      <x:c r="M112" s="21" t="s">
        <x:v>854</x:v>
      </x:c>
    </x:row>
    <x:row r="113" ht="28.5" customHeight="1">
      <x:c r="A113" s="20"/>
      <x:c r="B113" s="20"/>
      <x:c r="C113" s="21" t="s">
        <x:v>13</x:v>
      </x:c>
      <x:c r="D113" s="21" t="s">
        <x:v>15</x:v>
      </x:c>
      <x:c r="E113" s="21" t="s">
        <x:v>187</x:v>
      </x:c>
      <x:c r="F113" s="21" t="s">
        <x:v>149</x:v>
      </x:c>
      <x:c r="G113" s="21">
        <x:v>5</x:v>
      </x:c>
      <x:c r="H113" s="21" t="s">
        <x:v>855</x:v>
      </x:c>
      <x:c r="I113" s="21" t="s">
        <x:v>856</x:v>
      </x:c>
      <x:c r="J113" s="21" t="s">
        <x:v>857</x:v>
      </x:c>
      <x:c r="K113" s="21" t="s">
        <x:v>858</x:v>
      </x:c>
      <x:c r="L113" s="21" t="s">
        <x:v>859</x:v>
      </x:c>
      <x:c r="M113" s="21" t="s">
        <x:v>860</x:v>
      </x:c>
    </x:row>
    <x:row r="114" ht="28.5" customHeight="1">
      <x:c r="A114" s="20"/>
      <x:c r="B114" s="20"/>
      <x:c r="C114" s="21" t="s">
        <x:v>13</x:v>
      </x:c>
      <x:c r="D114" s="21" t="s">
        <x:v>15</x:v>
      </x:c>
      <x:c r="E114" s="21" t="s">
        <x:v>187</x:v>
      </x:c>
      <x:c r="F114" s="21" t="s">
        <x:v>149</x:v>
      </x:c>
      <x:c r="G114" s="21">
        <x:v>6</x:v>
      </x:c>
      <x:c r="H114" s="21" t="s">
        <x:v>673</x:v>
      </x:c>
      <x:c r="I114" s="21" t="s">
        <x:v>861</x:v>
      </x:c>
      <x:c r="J114" s="21" t="s">
        <x:v>862</x:v>
      </x:c>
      <x:c r="K114" s="21" t="s">
        <x:v>863</x:v>
      </x:c>
      <x:c r="L114" s="21" t="s">
        <x:v>864</x:v>
      </x:c>
      <x:c r="M114" s="21" t="s">
        <x:v>865</x:v>
      </x:c>
    </x:row>
    <x:row r="115" ht="28.5" customHeight="1">
      <x:c r="A115" s="20"/>
      <x:c r="B115" s="20"/>
      <x:c r="C115" s="21" t="s">
        <x:v>13</x:v>
      </x:c>
      <x:c r="D115" s="21" t="s">
        <x:v>15</x:v>
      </x:c>
      <x:c r="E115" s="21" t="s">
        <x:v>187</x:v>
      </x:c>
      <x:c r="F115" s="21" t="s">
        <x:v>149</x:v>
      </x:c>
      <x:c r="G115" s="21">
        <x:v>7</x:v>
      </x:c>
      <x:c r="H115" s="21" t="s">
        <x:v>720</x:v>
      </x:c>
      <x:c r="I115" s="21" t="s">
        <x:v>866</x:v>
      </x:c>
      <x:c r="J115" s="21" t="s">
        <x:v>867</x:v>
      </x:c>
      <x:c r="K115" s="21" t="s">
        <x:v>868</x:v>
      </x:c>
      <x:c r="L115" s="21" t="s">
        <x:v>869</x:v>
      </x:c>
      <x:c r="M115" s="21" t="s">
        <x:v>870</x:v>
      </x:c>
    </x:row>
    <x:row r="116" ht="28.5" customHeight="1">
      <x:c r="A116" s="20"/>
      <x:c r="B116" s="20"/>
      <x:c r="C116" s="21" t="s">
        <x:v>13</x:v>
      </x:c>
      <x:c r="D116" s="21" t="s">
        <x:v>15</x:v>
      </x:c>
      <x:c r="E116" s="21" t="s">
        <x:v>187</x:v>
      </x:c>
      <x:c r="F116" s="21" t="s">
        <x:v>149</x:v>
      </x:c>
      <x:c r="G116" s="21">
        <x:v>8</x:v>
      </x:c>
      <x:c r="H116" s="21" t="s">
        <x:v>871</x:v>
      </x:c>
      <x:c r="I116" s="21" t="s">
        <x:v>872</x:v>
      </x:c>
      <x:c r="J116" s="21" t="s">
        <x:v>873</x:v>
      </x:c>
      <x:c r="K116" s="21" t="s">
        <x:v>874</x:v>
      </x:c>
      <x:c r="L116" s="21" t="s">
        <x:v>875</x:v>
      </x:c>
      <x:c r="M116" s="21" t="s">
        <x:v>876</x:v>
      </x:c>
    </x:row>
    <x:row r="117" ht="28.5" customHeight="1">
      <x:c r="A117" s="20"/>
      <x:c r="B117" s="20"/>
      <x:c r="C117" s="21" t="s">
        <x:v>13</x:v>
      </x:c>
      <x:c r="D117" s="21" t="s">
        <x:v>15</x:v>
      </x:c>
      <x:c r="E117" s="21" t="s">
        <x:v>877</x:v>
      </x:c>
      <x:c r="F117" s="21" t="s">
        <x:v>117</x:v>
      </x:c>
      <x:c r="G117" s="21">
        <x:v>1</x:v>
      </x:c>
      <x:c r="H117" s="21" t="s">
        <x:v>622</x:v>
      </x:c>
      <x:c r="I117" s="21" t="s">
        <x:v>878</x:v>
      </x:c>
      <x:c r="J117" s="21" t="s">
        <x:v>879</x:v>
      </x:c>
      <x:c r="K117" s="21" t="s">
        <x:v>880</x:v>
      </x:c>
      <x:c r="L117" s="21" t="s">
        <x:v>881</x:v>
      </x:c>
      <x:c r="M117" s="21" t="s">
        <x:v>882</x:v>
      </x:c>
    </x:row>
    <x:row r="118" ht="28.5" customHeight="1">
      <x:c r="A118" s="20"/>
      <x:c r="B118" s="20"/>
      <x:c r="C118" s="21" t="s">
        <x:v>13</x:v>
      </x:c>
      <x:c r="D118" s="21" t="s">
        <x:v>15</x:v>
      </x:c>
      <x:c r="E118" s="21" t="s">
        <x:v>877</x:v>
      </x:c>
      <x:c r="F118" s="21" t="s">
        <x:v>117</x:v>
      </x:c>
      <x:c r="G118" s="21">
        <x:v>2</x:v>
      </x:c>
      <x:c r="H118" s="21" t="s">
        <x:v>638</x:v>
      </x:c>
      <x:c r="I118" s="21" t="s">
        <x:v>883</x:v>
      </x:c>
      <x:c r="J118" s="21" t="s">
        <x:v>884</x:v>
      </x:c>
      <x:c r="K118" s="21" t="s">
        <x:v>885</x:v>
      </x:c>
      <x:c r="L118" s="21" t="s">
        <x:v>886</x:v>
      </x:c>
      <x:c r="M118" s="21" t="s">
        <x:v>887</x:v>
      </x:c>
    </x:row>
    <x:row r="119" ht="28.5" customHeight="1">
      <x:c r="A119" s="20"/>
      <x:c r="B119" s="20"/>
      <x:c r="C119" s="21" t="s">
        <x:v>13</x:v>
      </x:c>
      <x:c r="D119" s="21" t="s">
        <x:v>15</x:v>
      </x:c>
      <x:c r="E119" s="21" t="s">
        <x:v>877</x:v>
      </x:c>
      <x:c r="F119" s="21" t="s">
        <x:v>117</x:v>
      </x:c>
      <x:c r="G119" s="21">
        <x:v>3</x:v>
      </x:c>
      <x:c r="H119" s="21" t="s">
        <x:v>762</x:v>
      </x:c>
      <x:c r="I119" s="21" t="s">
        <x:v>888</x:v>
      </x:c>
      <x:c r="J119" s="21" t="s">
        <x:v>889</x:v>
      </x:c>
      <x:c r="K119" s="21" t="s">
        <x:v>890</x:v>
      </x:c>
      <x:c r="L119" s="21" t="s">
        <x:v>891</x:v>
      </x:c>
      <x:c r="M119" s="21" t="s">
        <x:v>892</x:v>
      </x:c>
    </x:row>
    <x:row r="120" ht="28.5" customHeight="1">
      <x:c r="A120" s="20"/>
      <x:c r="B120" s="20"/>
      <x:c r="C120" s="21" t="s">
        <x:v>13</x:v>
      </x:c>
      <x:c r="D120" s="21" t="s">
        <x:v>15</x:v>
      </x:c>
      <x:c r="E120" s="21" t="s">
        <x:v>877</x:v>
      </x:c>
      <x:c r="F120" s="21" t="s">
        <x:v>117</x:v>
      </x:c>
      <x:c r="G120" s="21">
        <x:v>4</x:v>
      </x:c>
      <x:c r="H120" s="21" t="s">
        <x:v>749</x:v>
      </x:c>
      <x:c r="I120" s="21" t="s">
        <x:v>893</x:v>
      </x:c>
      <x:c r="J120" s="21" t="s">
        <x:v>894</x:v>
      </x:c>
      <x:c r="K120" s="21" t="s">
        <x:v>895</x:v>
      </x:c>
      <x:c r="L120" s="21" t="s">
        <x:v>896</x:v>
      </x:c>
      <x:c r="M120" s="21" t="s">
        <x:v>897</x:v>
      </x:c>
    </x:row>
    <x:row r="121" ht="28.5" customHeight="1">
      <x:c r="A121" s="20"/>
      <x:c r="B121" s="20"/>
      <x:c r="C121" s="21" t="s">
        <x:v>13</x:v>
      </x:c>
      <x:c r="D121" s="21" t="s">
        <x:v>15</x:v>
      </x:c>
      <x:c r="E121" s="21" t="s">
        <x:v>877</x:v>
      </x:c>
      <x:c r="F121" s="21" t="s">
        <x:v>117</x:v>
      </x:c>
      <x:c r="G121" s="21">
        <x:v>5</x:v>
      </x:c>
      <x:c r="H121" s="21" t="s">
        <x:v>707</x:v>
      </x:c>
      <x:c r="I121" s="21" t="s">
        <x:v>898</x:v>
      </x:c>
      <x:c r="J121" s="21" t="s">
        <x:v>899</x:v>
      </x:c>
      <x:c r="K121" s="21" t="s">
        <x:v>900</x:v>
      </x:c>
      <x:c r="L121" s="21" t="s">
        <x:v>901</x:v>
      </x:c>
      <x:c r="M121" s="21" t="s">
        <x:v>902</x:v>
      </x:c>
    </x:row>
    <x:row r="122" ht="28.5" customHeight="1">
      <x:c r="A122" s="20"/>
      <x:c r="B122" s="20"/>
      <x:c r="C122" s="21" t="s">
        <x:v>13</x:v>
      </x:c>
      <x:c r="D122" s="21" t="s">
        <x:v>15</x:v>
      </x:c>
      <x:c r="E122" s="21" t="s">
        <x:v>877</x:v>
      </x:c>
      <x:c r="F122" s="21" t="s">
        <x:v>117</x:v>
      </x:c>
      <x:c r="G122" s="21">
        <x:v>6</x:v>
      </x:c>
      <x:c r="H122" s="21" t="s">
        <x:v>673</x:v>
      </x:c>
      <x:c r="I122" s="21" t="s">
        <x:v>903</x:v>
      </x:c>
      <x:c r="J122" s="21" t="s">
        <x:v>904</x:v>
      </x:c>
      <x:c r="K122" s="21" t="s">
        <x:v>905</x:v>
      </x:c>
      <x:c r="L122" s="21" t="s">
        <x:v>906</x:v>
      </x:c>
      <x:c r="M122" s="21" t="s">
        <x:v>907</x:v>
      </x:c>
    </x:row>
    <x:row r="123" ht="28.5" customHeight="1">
      <x:c r="A123" s="20"/>
      <x:c r="B123" s="20"/>
      <x:c r="C123" s="21" t="s">
        <x:v>13</x:v>
      </x:c>
      <x:c r="D123" s="21" t="s">
        <x:v>15</x:v>
      </x:c>
      <x:c r="E123" s="21" t="s">
        <x:v>877</x:v>
      </x:c>
      <x:c r="F123" s="21" t="s">
        <x:v>117</x:v>
      </x:c>
      <x:c r="G123" s="21">
        <x:v>7</x:v>
      </x:c>
      <x:c r="H123" s="21" t="s">
        <x:v>684</x:v>
      </x:c>
      <x:c r="I123" s="21" t="s">
        <x:v>908</x:v>
      </x:c>
      <x:c r="J123" s="21" t="s">
        <x:v>909</x:v>
      </x:c>
      <x:c r="K123" s="21" t="s">
        <x:v>910</x:v>
      </x:c>
      <x:c r="L123" s="21" t="s">
        <x:v>911</x:v>
      </x:c>
      <x:c r="M123" s="21" t="s">
        <x:v>912</x:v>
      </x:c>
    </x:row>
    <x:row r="124" ht="28.5" customHeight="1">
      <x:c r="A124" s="20"/>
      <x:c r="B124" s="20"/>
      <x:c r="C124" s="21" t="s">
        <x:v>13</x:v>
      </x:c>
      <x:c r="D124" s="21" t="s">
        <x:v>15</x:v>
      </x:c>
      <x:c r="E124" s="21" t="s">
        <x:v>877</x:v>
      </x:c>
      <x:c r="F124" s="21" t="s">
        <x:v>117</x:v>
      </x:c>
      <x:c r="G124" s="21">
        <x:v>8</x:v>
      </x:c>
      <x:c r="H124" s="21" t="s">
        <x:v>188</x:v>
      </x:c>
      <x:c r="I124" s="21" t="s">
        <x:v>189</x:v>
      </x:c>
      <x:c r="J124" s="21" t="s">
        <x:v>913</x:v>
      </x:c>
      <x:c r="K124" s="21" t="s">
        <x:v>914</x:v>
      </x:c>
      <x:c r="L124" s="21" t="s">
        <x:v>915</x:v>
      </x:c>
      <x:c r="M124" s="21" t="s">
        <x:v>916</x:v>
      </x:c>
    </x:row>
    <x:row r="125" ht="28.5" customHeight="1">
      <x:c r="A125" s="20"/>
      <x:c r="B125" s="20"/>
      <x:c r="C125" s="21" t="s">
        <x:v>13</x:v>
      </x:c>
      <x:c r="D125" s="21" t="s">
        <x:v>15</x:v>
      </x:c>
      <x:c r="E125" s="21" t="s">
        <x:v>917</x:v>
      </x:c>
      <x:c r="F125" s="21" t="s">
        <x:v>87</x:v>
      </x:c>
      <x:c r="G125" s="21">
        <x:v>1</x:v>
      </x:c>
      <x:c r="H125" s="21" t="s">
        <x:v>673</x:v>
      </x:c>
      <x:c r="I125" s="21" t="s">
        <x:v>918</x:v>
      </x:c>
      <x:c r="J125" s="21" t="s">
        <x:v>919</x:v>
      </x:c>
      <x:c r="K125" s="21" t="s">
        <x:v>920</x:v>
      </x:c>
      <x:c r="L125" s="21" t="s">
        <x:v>921</x:v>
      </x:c>
      <x:c r="M125" s="21" t="s">
        <x:v>922</x:v>
      </x:c>
    </x:row>
    <x:row r="126" ht="28.5" customHeight="1">
      <x:c r="A126" s="20"/>
      <x:c r="B126" s="20"/>
      <x:c r="C126" s="21" t="s">
        <x:v>13</x:v>
      </x:c>
      <x:c r="D126" s="21" t="s">
        <x:v>15</x:v>
      </x:c>
      <x:c r="E126" s="21" t="s">
        <x:v>917</x:v>
      </x:c>
      <x:c r="F126" s="21" t="s">
        <x:v>87</x:v>
      </x:c>
      <x:c r="G126" s="21">
        <x:v>2</x:v>
      </x:c>
      <x:c r="H126" s="21" t="s">
        <x:v>667</x:v>
      </x:c>
      <x:c r="I126" s="21" t="s">
        <x:v>923</x:v>
      </x:c>
      <x:c r="J126" s="21" t="s">
        <x:v>924</x:v>
      </x:c>
      <x:c r="K126" s="21" t="s">
        <x:v>925</x:v>
      </x:c>
      <x:c r="L126" s="21" t="s">
        <x:v>926</x:v>
      </x:c>
      <x:c r="M126" s="21" t="s">
        <x:v>927</x:v>
      </x:c>
    </x:row>
    <x:row r="127" ht="28.5" customHeight="1">
      <x:c r="A127" s="20"/>
      <x:c r="B127" s="20"/>
      <x:c r="C127" s="21" t="s">
        <x:v>13</x:v>
      </x:c>
      <x:c r="D127" s="21" t="s">
        <x:v>15</x:v>
      </x:c>
      <x:c r="E127" s="21" t="s">
        <x:v>917</x:v>
      </x:c>
      <x:c r="F127" s="21" t="s">
        <x:v>87</x:v>
      </x:c>
      <x:c r="G127" s="21">
        <x:v>3</x:v>
      </x:c>
      <x:c r="H127" s="21" t="s">
        <x:v>667</x:v>
      </x:c>
      <x:c r="I127" s="21" t="s">
        <x:v>928</x:v>
      </x:c>
      <x:c r="J127" s="21" t="s">
        <x:v>929</x:v>
      </x:c>
      <x:c r="K127" s="21" t="s">
        <x:v>930</x:v>
      </x:c>
      <x:c r="L127" s="21" t="s">
        <x:v>931</x:v>
      </x:c>
      <x:c r="M127" s="21" t="s">
        <x:v>932</x:v>
      </x:c>
    </x:row>
    <x:row r="128" ht="28.5" customHeight="1">
      <x:c r="A128" s="20"/>
      <x:c r="B128" s="20"/>
      <x:c r="C128" s="21" t="s">
        <x:v>13</x:v>
      </x:c>
      <x:c r="D128" s="21" t="s">
        <x:v>15</x:v>
      </x:c>
      <x:c r="E128" s="21" t="s">
        <x:v>917</x:v>
      </x:c>
      <x:c r="F128" s="21" t="s">
        <x:v>87</x:v>
      </x:c>
      <x:c r="G128" s="21">
        <x:v>4</x:v>
      </x:c>
      <x:c r="H128" s="21" t="s">
        <x:v>762</x:v>
      </x:c>
      <x:c r="I128" s="21" t="s">
        <x:v>933</x:v>
      </x:c>
      <x:c r="J128" s="21" t="s">
        <x:v>934</x:v>
      </x:c>
      <x:c r="K128" s="21" t="s">
        <x:v>935</x:v>
      </x:c>
      <x:c r="L128" s="21" t="s">
        <x:v>936</x:v>
      </x:c>
      <x:c r="M128" s="21" t="s">
        <x:v>937</x:v>
      </x:c>
    </x:row>
    <x:row r="129" ht="28.5" customHeight="1">
      <x:c r="A129" s="20"/>
      <x:c r="B129" s="20"/>
      <x:c r="C129" s="21" t="s">
        <x:v>13</x:v>
      </x:c>
      <x:c r="D129" s="21" t="s">
        <x:v>15</x:v>
      </x:c>
      <x:c r="E129" s="21" t="s">
        <x:v>917</x:v>
      </x:c>
      <x:c r="F129" s="21" t="s">
        <x:v>87</x:v>
      </x:c>
      <x:c r="G129" s="21">
        <x:v>5</x:v>
      </x:c>
      <x:c r="H129" s="21" t="s">
        <x:v>707</x:v>
      </x:c>
      <x:c r="I129" s="21" t="s">
        <x:v>938</x:v>
      </x:c>
      <x:c r="J129" s="21" t="s">
        <x:v>939</x:v>
      </x:c>
      <x:c r="K129" s="21" t="s">
        <x:v>940</x:v>
      </x:c>
      <x:c r="L129" s="21" t="s">
        <x:v>941</x:v>
      </x:c>
      <x:c r="M129" s="21" t="s">
        <x:v>942</x:v>
      </x:c>
    </x:row>
    <x:row r="130" ht="28.5" customHeight="1">
      <x:c r="A130" s="20"/>
      <x:c r="B130" s="20"/>
      <x:c r="C130" s="21" t="s">
        <x:v>13</x:v>
      </x:c>
      <x:c r="D130" s="21" t="s">
        <x:v>15</x:v>
      </x:c>
      <x:c r="E130" s="21" t="s">
        <x:v>917</x:v>
      </x:c>
      <x:c r="F130" s="21" t="s">
        <x:v>87</x:v>
      </x:c>
      <x:c r="G130" s="21">
        <x:v>6</x:v>
      </x:c>
      <x:c r="H130" s="21" t="s">
        <x:v>638</x:v>
      </x:c>
      <x:c r="I130" s="21" t="s">
        <x:v>943</x:v>
      </x:c>
      <x:c r="J130" s="21" t="s">
        <x:v>944</x:v>
      </x:c>
      <x:c r="K130" s="21" t="s">
        <x:v>945</x:v>
      </x:c>
      <x:c r="L130" s="21" t="s">
        <x:v>946</x:v>
      </x:c>
      <x:c r="M130" s="21" t="s">
        <x:v>947</x:v>
      </x:c>
    </x:row>
    <x:row r="131" ht="28.5" customHeight="1">
      <x:c r="A131" s="20"/>
      <x:c r="B131" s="20"/>
      <x:c r="C131" s="21" t="s">
        <x:v>13</x:v>
      </x:c>
      <x:c r="D131" s="21" t="s">
        <x:v>15</x:v>
      </x:c>
      <x:c r="E131" s="21" t="s">
        <x:v>917</x:v>
      </x:c>
      <x:c r="F131" s="21" t="s">
        <x:v>87</x:v>
      </x:c>
      <x:c r="G131" s="21">
        <x:v>7</x:v>
      </x:c>
      <x:c r="H131" s="21" t="s">
        <x:v>762</x:v>
      </x:c>
      <x:c r="I131" s="21" t="s">
        <x:v>948</x:v>
      </x:c>
      <x:c r="J131" s="21" t="s">
        <x:v>949</x:v>
      </x:c>
      <x:c r="K131" s="21" t="s">
        <x:v>950</x:v>
      </x:c>
      <x:c r="L131" s="21" t="s">
        <x:v>951</x:v>
      </x:c>
      <x:c r="M131" s="21" t="s">
        <x:v>952</x:v>
      </x:c>
    </x:row>
    <x:row r="132" ht="28.5" customHeight="1">
      <x:c r="A132" s="20"/>
      <x:c r="B132" s="20"/>
      <x:c r="C132" s="21" t="s">
        <x:v>13</x:v>
      </x:c>
      <x:c r="D132" s="21" t="s">
        <x:v>15</x:v>
      </x:c>
      <x:c r="E132" s="21" t="s">
        <x:v>917</x:v>
      </x:c>
      <x:c r="F132" s="21" t="s">
        <x:v>87</x:v>
      </x:c>
      <x:c r="G132" s="21">
        <x:v>8</x:v>
      </x:c>
      <x:c r="H132" s="21" t="s">
        <x:v>188</x:v>
      </x:c>
      <x:c r="I132" s="21" t="s">
        <x:v>81</x:v>
      </x:c>
      <x:c r="J132" s="21" t="s">
        <x:v>953</x:v>
      </x:c>
      <x:c r="K132" s="21" t="s">
        <x:v>954</x:v>
      </x:c>
      <x:c r="L132" s="21" t="s">
        <x:v>955</x:v>
      </x:c>
      <x:c r="M132" s="21" t="s">
        <x:v>956</x:v>
      </x:c>
    </x:row>
    <x:row r="133" ht="28.5" customHeight="1">
      <x:c r="A133" s="20"/>
      <x:c r="B133" s="20"/>
      <x:c r="C133" s="21" t="s">
        <x:v>13</x:v>
      </x:c>
      <x:c r="D133" s="21" t="s">
        <x:v>15</x:v>
      </x:c>
      <x:c r="E133" s="21" t="s">
        <x:v>957</x:v>
      </x:c>
      <x:c r="F133" s="21" t="s">
        <x:v>87</x:v>
      </x:c>
      <x:c r="G133" s="21">
        <x:v>1</x:v>
      </x:c>
      <x:c r="H133" s="21" t="s">
        <x:v>958</x:v>
      </x:c>
      <x:c r="I133" s="21" t="s">
        <x:v>959</x:v>
      </x:c>
      <x:c r="J133" s="21" t="s">
        <x:v>960</x:v>
      </x:c>
      <x:c r="K133" s="21" t="s">
        <x:v>961</x:v>
      </x:c>
      <x:c r="L133" s="21" t="s">
        <x:v>962</x:v>
      </x:c>
      <x:c r="M133" s="21" t="s">
        <x:v>963</x:v>
      </x:c>
    </x:row>
    <x:row r="134" ht="28.5" customHeight="1">
      <x:c r="A134" s="20"/>
      <x:c r="B134" s="20"/>
      <x:c r="C134" s="21" t="s">
        <x:v>13</x:v>
      </x:c>
      <x:c r="D134" s="21" t="s">
        <x:v>15</x:v>
      </x:c>
      <x:c r="E134" s="21" t="s">
        <x:v>957</x:v>
      </x:c>
      <x:c r="F134" s="21" t="s">
        <x:v>87</x:v>
      </x:c>
      <x:c r="G134" s="21">
        <x:v>2</x:v>
      </x:c>
      <x:c r="H134" s="21" t="s">
        <x:v>628</x:v>
      </x:c>
      <x:c r="I134" s="21" t="s">
        <x:v>557</x:v>
      </x:c>
      <x:c r="J134" s="21" t="s">
        <x:v>964</x:v>
      </x:c>
      <x:c r="K134" s="21" t="s">
        <x:v>630</x:v>
      </x:c>
      <x:c r="L134" s="21" t="s">
        <x:v>631</x:v>
      </x:c>
      <x:c r="M134" s="21" t="s">
        <x:v>965</x:v>
      </x:c>
    </x:row>
    <x:row r="135" ht="28.5" customHeight="1">
      <x:c r="A135" s="20"/>
      <x:c r="B135" s="20"/>
      <x:c r="C135" s="21" t="s">
        <x:v>13</x:v>
      </x:c>
      <x:c r="D135" s="21" t="s">
        <x:v>15</x:v>
      </x:c>
      <x:c r="E135" s="21" t="s">
        <x:v>957</x:v>
      </x:c>
      <x:c r="F135" s="21" t="s">
        <x:v>87</x:v>
      </x:c>
      <x:c r="G135" s="21">
        <x:v>3</x:v>
      </x:c>
      <x:c r="H135" s="21" t="s">
        <x:v>855</x:v>
      </x:c>
      <x:c r="I135" s="21" t="s">
        <x:v>966</x:v>
      </x:c>
      <x:c r="J135" s="21" t="s">
        <x:v>967</x:v>
      </x:c>
      <x:c r="K135" s="21" t="s">
        <x:v>968</x:v>
      </x:c>
      <x:c r="L135" s="21" t="s">
        <x:v>969</x:v>
      </x:c>
      <x:c r="M135" s="21" t="s">
        <x:v>970</x:v>
      </x:c>
    </x:row>
    <x:row r="136" ht="28.5" customHeight="1">
      <x:c r="A136" s="20"/>
      <x:c r="B136" s="20"/>
      <x:c r="C136" s="21" t="s">
        <x:v>13</x:v>
      </x:c>
      <x:c r="D136" s="21" t="s">
        <x:v>15</x:v>
      </x:c>
      <x:c r="E136" s="21" t="s">
        <x:v>957</x:v>
      </x:c>
      <x:c r="F136" s="21" t="s">
        <x:v>87</x:v>
      </x:c>
      <x:c r="G136" s="21">
        <x:v>4</x:v>
      </x:c>
      <x:c r="H136" s="21" t="s">
        <x:v>971</x:v>
      </x:c>
      <x:c r="I136" s="21" t="s">
        <x:v>972</x:v>
      </x:c>
      <x:c r="J136" s="21" t="s">
        <x:v>973</x:v>
      </x:c>
      <x:c r="K136" s="21" t="s">
        <x:v>974</x:v>
      </x:c>
      <x:c r="L136" s="21" t="s">
        <x:v>975</x:v>
      </x:c>
      <x:c r="M136" s="21" t="s">
        <x:v>976</x:v>
      </x:c>
    </x:row>
    <x:row r="137" ht="28.5" customHeight="1">
      <x:c r="A137" s="20"/>
      <x:c r="B137" s="20"/>
      <x:c r="C137" s="21" t="s">
        <x:v>13</x:v>
      </x:c>
      <x:c r="D137" s="21" t="s">
        <x:v>15</x:v>
      </x:c>
      <x:c r="E137" s="21" t="s">
        <x:v>957</x:v>
      </x:c>
      <x:c r="F137" s="21" t="s">
        <x:v>87</x:v>
      </x:c>
      <x:c r="G137" s="21">
        <x:v>5</x:v>
      </x:c>
      <x:c r="H137" s="21" t="s">
        <x:v>673</x:v>
      </x:c>
      <x:c r="I137" s="21" t="s">
        <x:v>977</x:v>
      </x:c>
      <x:c r="J137" s="21" t="s">
        <x:v>978</x:v>
      </x:c>
      <x:c r="K137" s="21" t="s">
        <x:v>979</x:v>
      </x:c>
      <x:c r="L137" s="21" t="s">
        <x:v>980</x:v>
      </x:c>
      <x:c r="M137" s="21" t="s">
        <x:v>981</x:v>
      </x:c>
    </x:row>
    <x:row r="138" ht="28.5" customHeight="1">
      <x:c r="A138" s="20"/>
      <x:c r="B138" s="20"/>
      <x:c r="C138" s="21" t="s">
        <x:v>13</x:v>
      </x:c>
      <x:c r="D138" s="21" t="s">
        <x:v>15</x:v>
      </x:c>
      <x:c r="E138" s="21" t="s">
        <x:v>957</x:v>
      </x:c>
      <x:c r="F138" s="21" t="s">
        <x:v>87</x:v>
      </x:c>
      <x:c r="G138" s="21">
        <x:v>6</x:v>
      </x:c>
      <x:c r="H138" s="21" t="s">
        <x:v>720</x:v>
      </x:c>
      <x:c r="I138" s="21" t="s">
        <x:v>982</x:v>
      </x:c>
      <x:c r="J138" s="21" t="s">
        <x:v>983</x:v>
      </x:c>
      <x:c r="K138" s="21" t="s">
        <x:v>984</x:v>
      </x:c>
      <x:c r="L138" s="21" t="s">
        <x:v>985</x:v>
      </x:c>
      <x:c r="M138" s="21" t="s">
        <x:v>986</x:v>
      </x:c>
    </x:row>
    <x:row r="139" ht="28.5" customHeight="1">
      <x:c r="A139" s="20"/>
      <x:c r="B139" s="20"/>
      <x:c r="C139" s="21" t="s">
        <x:v>13</x:v>
      </x:c>
      <x:c r="D139" s="21" t="s">
        <x:v>15</x:v>
      </x:c>
      <x:c r="E139" s="21" t="s">
        <x:v>957</x:v>
      </x:c>
      <x:c r="F139" s="21" t="s">
        <x:v>87</x:v>
      </x:c>
      <x:c r="G139" s="21">
        <x:v>7</x:v>
      </x:c>
      <x:c r="H139" s="21" t="s">
        <x:v>987</x:v>
      </x:c>
      <x:c r="I139" s="21" t="s">
        <x:v>988</x:v>
      </x:c>
      <x:c r="J139" s="21" t="s">
        <x:v>989</x:v>
      </x:c>
      <x:c r="K139" s="21" t="s">
        <x:v>990</x:v>
      </x:c>
      <x:c r="L139" s="21" t="s">
        <x:v>991</x:v>
      </x:c>
      <x:c r="M139" s="21" t="s">
        <x:v>992</x:v>
      </x:c>
    </x:row>
    <x:row r="140" ht="28.5" customHeight="1">
      <x:c r="A140" s="20"/>
      <x:c r="B140" s="20"/>
      <x:c r="C140" s="21" t="s">
        <x:v>13</x:v>
      </x:c>
      <x:c r="D140" s="21" t="s">
        <x:v>15</x:v>
      </x:c>
      <x:c r="E140" s="21" t="s">
        <x:v>957</x:v>
      </x:c>
      <x:c r="F140" s="21" t="s">
        <x:v>87</x:v>
      </x:c>
      <x:c r="G140" s="21">
        <x:v>8</x:v>
      </x:c>
      <x:c r="H140" s="21" t="s">
        <x:v>782</x:v>
      </x:c>
      <x:c r="I140" s="21" t="s">
        <x:v>993</x:v>
      </x:c>
      <x:c r="J140" s="21" t="s">
        <x:v>994</x:v>
      </x:c>
      <x:c r="K140" s="21" t="s">
        <x:v>995</x:v>
      </x:c>
      <x:c r="L140" s="21" t="s">
        <x:v>996</x:v>
      </x:c>
      <x:c r="M140" s="21" t="s">
        <x:v>997</x:v>
      </x:c>
    </x:row>
    <x:row r="141" ht="28.5" customHeight="1">
      <x:c r="A141" s="20"/>
      <x:c r="B141" s="20"/>
      <x:c r="C141" s="21" t="s">
        <x:v>13</x:v>
      </x:c>
      <x:c r="D141" s="21" t="s">
        <x:v>15</x:v>
      </x:c>
      <x:c r="E141" s="21" t="s">
        <x:v>180</x:v>
      </x:c>
      <x:c r="F141" s="21" t="s">
        <x:v>87</x:v>
      </x:c>
      <x:c r="G141" s="21">
        <x:v>1</x:v>
      </x:c>
      <x:c r="H141" s="21" t="s">
        <x:v>181</x:v>
      </x:c>
      <x:c r="I141" s="21" t="s">
        <x:v>182</x:v>
      </x:c>
      <x:c r="J141" s="21" t="s">
        <x:v>183</x:v>
      </x:c>
      <x:c r="K141" s="21" t="s">
        <x:v>177</x:v>
      </x:c>
      <x:c r="L141" s="21" t="s">
        <x:v>178</x:v>
      </x:c>
      <x:c r="M141" s="21" t="s">
        <x:v>179</x:v>
      </x:c>
    </x:row>
    <x:row r="142" ht="28.5" customHeight="1">
      <x:c r="A142" s="20"/>
      <x:c r="B142" s="20"/>
      <x:c r="C142" s="21" t="s">
        <x:v>13</x:v>
      </x:c>
      <x:c r="D142" s="21" t="s">
        <x:v>15</x:v>
      </x:c>
      <x:c r="E142" s="21" t="s">
        <x:v>180</x:v>
      </x:c>
      <x:c r="F142" s="21" t="s">
        <x:v>87</x:v>
      </x:c>
      <x:c r="G142" s="21">
        <x:v>2</x:v>
      </x:c>
      <x:c r="H142" s="21" t="s">
        <x:v>998</x:v>
      </x:c>
      <x:c r="I142" s="21" t="s">
        <x:v>999</x:v>
      </x:c>
      <x:c r="J142" s="21" t="s">
        <x:v>1000</x:v>
      </x:c>
      <x:c r="K142" s="21" t="s">
        <x:v>1001</x:v>
      </x:c>
      <x:c r="L142" s="21" t="s">
        <x:v>1002</x:v>
      </x:c>
      <x:c r="M142" s="21" t="s">
        <x:v>1003</x:v>
      </x:c>
    </x:row>
    <x:row r="143" ht="28.5" customHeight="1">
      <x:c r="A143" s="20"/>
      <x:c r="B143" s="20"/>
      <x:c r="C143" s="21" t="s">
        <x:v>13</x:v>
      </x:c>
      <x:c r="D143" s="21" t="s">
        <x:v>15</x:v>
      </x:c>
      <x:c r="E143" s="21" t="s">
        <x:v>180</x:v>
      </x:c>
      <x:c r="F143" s="21" t="s">
        <x:v>87</x:v>
      </x:c>
      <x:c r="G143" s="21">
        <x:v>3</x:v>
      </x:c>
      <x:c r="H143" s="21" t="s">
        <x:v>749</x:v>
      </x:c>
      <x:c r="I143" s="21" t="s">
        <x:v>1004</x:v>
      </x:c>
      <x:c r="J143" s="21" t="s">
        <x:v>1005</x:v>
      </x:c>
      <x:c r="K143" s="21" t="s">
        <x:v>1006</x:v>
      </x:c>
      <x:c r="L143" s="21" t="s">
        <x:v>1007</x:v>
      </x:c>
      <x:c r="M143" s="21" t="s">
        <x:v>1008</x:v>
      </x:c>
    </x:row>
    <x:row r="144" ht="28.5" customHeight="1">
      <x:c r="A144" s="20"/>
      <x:c r="B144" s="20"/>
      <x:c r="C144" s="21" t="s">
        <x:v>13</x:v>
      </x:c>
      <x:c r="D144" s="21" t="s">
        <x:v>15</x:v>
      </x:c>
      <x:c r="E144" s="21" t="s">
        <x:v>180</x:v>
      </x:c>
      <x:c r="F144" s="21" t="s">
        <x:v>87</x:v>
      </x:c>
      <x:c r="G144" s="21">
        <x:v>4</x:v>
      </x:c>
      <x:c r="H144" s="21" t="s">
        <x:v>667</x:v>
      </x:c>
      <x:c r="I144" s="21" t="s">
        <x:v>1009</x:v>
      </x:c>
      <x:c r="J144" s="21" t="s">
        <x:v>1010</x:v>
      </x:c>
      <x:c r="K144" s="21" t="s">
        <x:v>1011</x:v>
      </x:c>
      <x:c r="L144" s="21" t="s">
        <x:v>1012</x:v>
      </x:c>
      <x:c r="M144" s="21" t="s">
        <x:v>1013</x:v>
      </x:c>
    </x:row>
    <x:row r="145" ht="28.5" customHeight="1">
      <x:c r="A145" s="20"/>
      <x:c r="B145" s="20"/>
      <x:c r="C145" s="21" t="s">
        <x:v>13</x:v>
      </x:c>
      <x:c r="D145" s="21" t="s">
        <x:v>15</x:v>
      </x:c>
      <x:c r="E145" s="21" t="s">
        <x:v>180</x:v>
      </x:c>
      <x:c r="F145" s="21" t="s">
        <x:v>87</x:v>
      </x:c>
      <x:c r="G145" s="21">
        <x:v>5</x:v>
      </x:c>
      <x:c r="H145" s="21" t="s">
        <x:v>638</x:v>
      </x:c>
      <x:c r="I145" s="21" t="s">
        <x:v>883</x:v>
      </x:c>
      <x:c r="J145" s="21" t="s">
        <x:v>1014</x:v>
      </x:c>
      <x:c r="K145" s="21" t="s">
        <x:v>1015</x:v>
      </x:c>
      <x:c r="L145" s="21" t="s">
        <x:v>1016</x:v>
      </x:c>
      <x:c r="M145" s="21" t="s">
        <x:v>1017</x:v>
      </x:c>
    </x:row>
    <x:row r="146" ht="28.5" customHeight="1">
      <x:c r="A146" s="20"/>
      <x:c r="B146" s="20"/>
      <x:c r="C146" s="21" t="s">
        <x:v>13</x:v>
      </x:c>
      <x:c r="D146" s="21" t="s">
        <x:v>15</x:v>
      </x:c>
      <x:c r="E146" s="21" t="s">
        <x:v>180</x:v>
      </x:c>
      <x:c r="F146" s="21" t="s">
        <x:v>87</x:v>
      </x:c>
      <x:c r="G146" s="21">
        <x:v>6</x:v>
      </x:c>
      <x:c r="H146" s="21" t="s">
        <x:v>720</x:v>
      </x:c>
      <x:c r="I146" s="21" t="s">
        <x:v>721</x:v>
      </x:c>
      <x:c r="J146" s="21" t="s">
        <x:v>1018</x:v>
      </x:c>
      <x:c r="K146" s="21" t="s">
        <x:v>1019</x:v>
      </x:c>
      <x:c r="L146" s="21" t="s">
        <x:v>1020</x:v>
      </x:c>
      <x:c r="M146" s="21" t="s">
        <x:v>1021</x:v>
      </x:c>
    </x:row>
    <x:row r="147" ht="28.5" customHeight="1">
      <x:c r="A147" s="20"/>
      <x:c r="B147" s="20"/>
      <x:c r="C147" s="21" t="s">
        <x:v>13</x:v>
      </x:c>
      <x:c r="D147" s="21" t="s">
        <x:v>15</x:v>
      </x:c>
      <x:c r="E147" s="21" t="s">
        <x:v>180</x:v>
      </x:c>
      <x:c r="F147" s="21" t="s">
        <x:v>87</x:v>
      </x:c>
      <x:c r="G147" s="21">
        <x:v>7</x:v>
      </x:c>
      <x:c r="H147" s="21" t="s">
        <x:v>1022</x:v>
      </x:c>
      <x:c r="I147" s="21" t="s">
        <x:v>1023</x:v>
      </x:c>
      <x:c r="J147" s="21" t="s">
        <x:v>1024</x:v>
      </x:c>
      <x:c r="K147" s="21" t="s">
        <x:v>1025</x:v>
      </x:c>
      <x:c r="L147" s="21" t="s">
        <x:v>1026</x:v>
      </x:c>
      <x:c r="M147" s="21" t="s">
        <x:v>1027</x:v>
      </x:c>
    </x:row>
    <x:row r="148" ht="28.5" customHeight="1">
      <x:c r="A148" s="20"/>
      <x:c r="B148" s="20"/>
      <x:c r="C148" s="21" t="s">
        <x:v>13</x:v>
      </x:c>
      <x:c r="D148" s="21" t="s">
        <x:v>15</x:v>
      </x:c>
      <x:c r="E148" s="21" t="s">
        <x:v>180</x:v>
      </x:c>
      <x:c r="F148" s="21" t="s">
        <x:v>87</x:v>
      </x:c>
      <x:c r="G148" s="21">
        <x:v>8</x:v>
      </x:c>
      <x:c r="H148" s="21" t="s">
        <x:v>673</x:v>
      </x:c>
      <x:c r="I148" s="21" t="s">
        <x:v>1028</x:v>
      </x:c>
      <x:c r="J148" s="21" t="s">
        <x:v>1029</x:v>
      </x:c>
      <x:c r="K148" s="21" t="s">
        <x:v>1030</x:v>
      </x:c>
      <x:c r="L148" s="21" t="s">
        <x:v>1031</x:v>
      </x:c>
      <x:c r="M148" s="21" t="s">
        <x:v>1032</x:v>
      </x:c>
    </x:row>
    <x:row r="149" ht="28.5" customHeight="1">
      <x:c r="A149" s="20"/>
      <x:c r="B149" s="20"/>
      <x:c r="C149" s="21" t="s">
        <x:v>13</x:v>
      </x:c>
      <x:c r="D149" s="21" t="s">
        <x:v>15</x:v>
      </x:c>
      <x:c r="E149" s="21" t="s">
        <x:v>1033</x:v>
      </x:c>
      <x:c r="F149" s="21" t="s">
        <x:v>87</x:v>
      </x:c>
      <x:c r="G149" s="21">
        <x:v>1</x:v>
      </x:c>
      <x:c r="H149" s="21" t="s">
        <x:v>720</x:v>
      </x:c>
      <x:c r="I149" s="21" t="s">
        <x:v>866</x:v>
      </x:c>
      <x:c r="J149" s="21" t="s">
        <x:v>1034</x:v>
      </x:c>
      <x:c r="K149" s="21" t="s">
        <x:v>1035</x:v>
      </x:c>
      <x:c r="L149" s="21" t="s">
        <x:v>1036</x:v>
      </x:c>
      <x:c r="M149" s="21" t="s">
        <x:v>1037</x:v>
      </x:c>
    </x:row>
    <x:row r="150" ht="28.5" customHeight="1">
      <x:c r="A150" s="20"/>
      <x:c r="B150" s="20"/>
      <x:c r="C150" s="21" t="s">
        <x:v>13</x:v>
      </x:c>
      <x:c r="D150" s="21" t="s">
        <x:v>15</x:v>
      </x:c>
      <x:c r="E150" s="21" t="s">
        <x:v>1033</x:v>
      </x:c>
      <x:c r="F150" s="21" t="s">
        <x:v>87</x:v>
      </x:c>
      <x:c r="G150" s="21">
        <x:v>2</x:v>
      </x:c>
      <x:c r="H150" s="21" t="s">
        <x:v>726</x:v>
      </x:c>
      <x:c r="I150" s="21" t="s">
        <x:v>727</x:v>
      </x:c>
      <x:c r="J150" s="21" t="s">
        <x:v>1038</x:v>
      </x:c>
      <x:c r="K150" s="21" t="s">
        <x:v>806</x:v>
      </x:c>
      <x:c r="L150" s="21" t="s">
        <x:v>807</x:v>
      </x:c>
      <x:c r="M150" s="21" t="s">
        <x:v>1039</x:v>
      </x:c>
    </x:row>
    <x:row r="151" ht="28.5" customHeight="1">
      <x:c r="A151" s="20"/>
      <x:c r="B151" s="20"/>
      <x:c r="C151" s="21" t="s">
        <x:v>13</x:v>
      </x:c>
      <x:c r="D151" s="21" t="s">
        <x:v>15</x:v>
      </x:c>
      <x:c r="E151" s="21" t="s">
        <x:v>1033</x:v>
      </x:c>
      <x:c r="F151" s="21" t="s">
        <x:v>87</x:v>
      </x:c>
      <x:c r="G151" s="21">
        <x:v>3</x:v>
      </x:c>
      <x:c r="H151" s="21" t="s">
        <x:v>690</x:v>
      </x:c>
      <x:c r="I151" s="21" t="s">
        <x:v>1040</x:v>
      </x:c>
      <x:c r="J151" s="21" t="s">
        <x:v>1041</x:v>
      </x:c>
      <x:c r="K151" s="21" t="s">
        <x:v>1042</x:v>
      </x:c>
      <x:c r="L151" s="21" t="s">
        <x:v>1043</x:v>
      </x:c>
      <x:c r="M151" s="21" t="s">
        <x:v>1044</x:v>
      </x:c>
    </x:row>
    <x:row r="152" ht="28.5" customHeight="1">
      <x:c r="A152" s="20"/>
      <x:c r="B152" s="20"/>
      <x:c r="C152" s="21" t="s">
        <x:v>13</x:v>
      </x:c>
      <x:c r="D152" s="21" t="s">
        <x:v>15</x:v>
      </x:c>
      <x:c r="E152" s="21" t="s">
        <x:v>1033</x:v>
      </x:c>
      <x:c r="F152" s="21" t="s">
        <x:v>87</x:v>
      </x:c>
      <x:c r="G152" s="21">
        <x:v>4</x:v>
      </x:c>
      <x:c r="H152" s="21" t="s">
        <x:v>1045</x:v>
      </x:c>
      <x:c r="I152" s="21" t="s">
        <x:v>1046</x:v>
      </x:c>
      <x:c r="J152" s="21" t="s">
        <x:v>1047</x:v>
      </x:c>
      <x:c r="K152" s="21" t="s">
        <x:v>1048</x:v>
      </x:c>
      <x:c r="L152" s="21" t="s">
        <x:v>1049</x:v>
      </x:c>
      <x:c r="M152" s="21" t="s">
        <x:v>1050</x:v>
      </x:c>
    </x:row>
    <x:row r="153" ht="28.5" customHeight="1">
      <x:c r="A153" s="20"/>
      <x:c r="B153" s="20"/>
      <x:c r="C153" s="21" t="s">
        <x:v>13</x:v>
      </x:c>
      <x:c r="D153" s="21" t="s">
        <x:v>15</x:v>
      </x:c>
      <x:c r="E153" s="21" t="s">
        <x:v>1033</x:v>
      </x:c>
      <x:c r="F153" s="21" t="s">
        <x:v>87</x:v>
      </x:c>
      <x:c r="G153" s="21">
        <x:v>5</x:v>
      </x:c>
      <x:c r="H153" s="21" t="s">
        <x:v>782</x:v>
      </x:c>
      <x:c r="I153" s="21" t="s">
        <x:v>943</x:v>
      </x:c>
      <x:c r="J153" s="21" t="s">
        <x:v>1051</x:v>
      </x:c>
      <x:c r="K153" s="21" t="s">
        <x:v>1052</x:v>
      </x:c>
      <x:c r="L153" s="21" t="s">
        <x:v>1053</x:v>
      </x:c>
      <x:c r="M153" s="21" t="s">
        <x:v>1054</x:v>
      </x:c>
    </x:row>
    <x:row r="154" ht="28.5" customHeight="1">
      <x:c r="A154" s="20"/>
      <x:c r="B154" s="20"/>
      <x:c r="C154" s="21" t="s">
        <x:v>13</x:v>
      </x:c>
      <x:c r="D154" s="21" t="s">
        <x:v>15</x:v>
      </x:c>
      <x:c r="E154" s="21" t="s">
        <x:v>1033</x:v>
      </x:c>
      <x:c r="F154" s="21" t="s">
        <x:v>87</x:v>
      </x:c>
      <x:c r="G154" s="21">
        <x:v>6</x:v>
      </x:c>
      <x:c r="H154" s="21" t="s">
        <x:v>701</x:v>
      </x:c>
      <x:c r="I154" s="21" t="s">
        <x:v>702</x:v>
      </x:c>
      <x:c r="J154" s="21" t="s">
        <x:v>1055</x:v>
      </x:c>
      <x:c r="K154" s="21" t="s">
        <x:v>1056</x:v>
      </x:c>
      <x:c r="L154" s="21" t="s">
        <x:v>1057</x:v>
      </x:c>
      <x:c r="M154" s="21" t="s">
        <x:v>1058</x:v>
      </x:c>
    </x:row>
    <x:row r="155" ht="28.5" customHeight="1">
      <x:c r="A155" s="20"/>
      <x:c r="B155" s="20"/>
      <x:c r="C155" s="21" t="s">
        <x:v>13</x:v>
      </x:c>
      <x:c r="D155" s="21" t="s">
        <x:v>15</x:v>
      </x:c>
      <x:c r="E155" s="21" t="s">
        <x:v>1033</x:v>
      </x:c>
      <x:c r="F155" s="21" t="s">
        <x:v>87</x:v>
      </x:c>
      <x:c r="G155" s="21">
        <x:v>7</x:v>
      </x:c>
      <x:c r="H155" s="21" t="s">
        <x:v>1059</x:v>
      </x:c>
      <x:c r="I155" s="21" t="s">
        <x:v>1060</x:v>
      </x:c>
      <x:c r="J155" s="21" t="s">
        <x:v>1061</x:v>
      </x:c>
      <x:c r="K155" s="21" t="s">
        <x:v>1062</x:v>
      </x:c>
      <x:c r="L155" s="21" t="s">
        <x:v>1063</x:v>
      </x:c>
      <x:c r="M155" s="21" t="s">
        <x:v>1064</x:v>
      </x:c>
    </x:row>
    <x:row r="156" ht="28.5" customHeight="1">
      <x:c r="A156" s="20"/>
      <x:c r="B156" s="20"/>
      <x:c r="C156" s="21" t="s">
        <x:v>13</x:v>
      </x:c>
      <x:c r="D156" s="21" t="s">
        <x:v>15</x:v>
      </x:c>
      <x:c r="E156" s="21" t="s">
        <x:v>1033</x:v>
      </x:c>
      <x:c r="F156" s="21" t="s">
        <x:v>87</x:v>
      </x:c>
      <x:c r="G156" s="21">
        <x:v>8</x:v>
      </x:c>
      <x:c r="H156" s="21" t="s">
        <x:v>622</x:v>
      </x:c>
      <x:c r="I156" s="21" t="s">
        <x:v>1065</x:v>
      </x:c>
      <x:c r="J156" s="21" t="s">
        <x:v>1066</x:v>
      </x:c>
      <x:c r="K156" s="21" t="s">
        <x:v>1067</x:v>
      </x:c>
      <x:c r="L156" s="21" t="s">
        <x:v>1068</x:v>
      </x:c>
      <x:c r="M156" s="21" t="s">
        <x:v>1069</x:v>
      </x:c>
    </x:row>
    <x:row r="157" ht="28.5" customHeight="1">
      <x:c r="A157" s="20"/>
      <x:c r="B157" s="20"/>
      <x:c r="C157" s="21" t="s">
        <x:v>13</x:v>
      </x:c>
      <x:c r="D157" s="21" t="s">
        <x:v>15</x:v>
      </x:c>
      <x:c r="E157" s="21" t="s">
        <x:v>1070</x:v>
      </x:c>
      <x:c r="F157" s="21" t="s">
        <x:v>110</x:v>
      </x:c>
      <x:c r="G157" s="21">
        <x:v>1</x:v>
      </x:c>
      <x:c r="H157" s="21" t="s">
        <x:v>701</x:v>
      </x:c>
      <x:c r="I157" s="21" t="s">
        <x:v>1071</x:v>
      </x:c>
      <x:c r="J157" s="21" t="s">
        <x:v>1072</x:v>
      </x:c>
      <x:c r="K157" s="21" t="s">
        <x:v>1073</x:v>
      </x:c>
      <x:c r="L157" s="21" t="s">
        <x:v>1074</x:v>
      </x:c>
      <x:c r="M157" s="21" t="s">
        <x:v>1075</x:v>
      </x:c>
    </x:row>
    <x:row r="158" ht="28.5" customHeight="1">
      <x:c r="A158" s="20"/>
      <x:c r="B158" s="20"/>
      <x:c r="C158" s="21" t="s">
        <x:v>13</x:v>
      </x:c>
      <x:c r="D158" s="21" t="s">
        <x:v>15</x:v>
      </x:c>
      <x:c r="E158" s="21" t="s">
        <x:v>1070</x:v>
      </x:c>
      <x:c r="F158" s="21" t="s">
        <x:v>110</x:v>
      </x:c>
      <x:c r="G158" s="21">
        <x:v>2</x:v>
      </x:c>
      <x:c r="H158" s="21" t="s">
        <x:v>726</x:v>
      </x:c>
      <x:c r="I158" s="21" t="s">
        <x:v>1076</x:v>
      </x:c>
      <x:c r="J158" s="21" t="s">
        <x:v>1077</x:v>
      </x:c>
      <x:c r="K158" s="21" t="s">
        <x:v>1078</x:v>
      </x:c>
      <x:c r="L158" s="21" t="s">
        <x:v>1079</x:v>
      </x:c>
      <x:c r="M158" s="21" t="s">
        <x:v>1080</x:v>
      </x:c>
    </x:row>
    <x:row r="159" ht="28.5" customHeight="1">
      <x:c r="A159" s="20"/>
      <x:c r="B159" s="20"/>
      <x:c r="C159" s="21" t="s">
        <x:v>13</x:v>
      </x:c>
      <x:c r="D159" s="21" t="s">
        <x:v>15</x:v>
      </x:c>
      <x:c r="E159" s="21" t="s">
        <x:v>1070</x:v>
      </x:c>
      <x:c r="F159" s="21" t="s">
        <x:v>110</x:v>
      </x:c>
      <x:c r="G159" s="21">
        <x:v>3</x:v>
      </x:c>
      <x:c r="H159" s="21" t="s">
        <x:v>782</x:v>
      </x:c>
      <x:c r="I159" s="21" t="s">
        <x:v>993</x:v>
      </x:c>
      <x:c r="J159" s="21" t="s">
        <x:v>1081</x:v>
      </x:c>
      <x:c r="K159" s="21" t="s">
        <x:v>1082</x:v>
      </x:c>
      <x:c r="L159" s="21" t="s">
        <x:v>1083</x:v>
      </x:c>
      <x:c r="M159" s="21" t="s">
        <x:v>1084</x:v>
      </x:c>
    </x:row>
    <x:row r="160" ht="28.5" customHeight="1">
      <x:c r="A160" s="20"/>
      <x:c r="B160" s="20"/>
      <x:c r="C160" s="21" t="s">
        <x:v>13</x:v>
      </x:c>
      <x:c r="D160" s="21" t="s">
        <x:v>15</x:v>
      </x:c>
      <x:c r="E160" s="21" t="s">
        <x:v>1070</x:v>
      </x:c>
      <x:c r="F160" s="21" t="s">
        <x:v>110</x:v>
      </x:c>
      <x:c r="G160" s="21">
        <x:v>4</x:v>
      </x:c>
      <x:c r="H160" s="21" t="s">
        <x:v>971</x:v>
      </x:c>
      <x:c r="I160" s="21" t="s">
        <x:v>1085</x:v>
      </x:c>
      <x:c r="J160" s="21" t="s">
        <x:v>1086</x:v>
      </x:c>
      <x:c r="K160" s="21" t="s">
        <x:v>1087</x:v>
      </x:c>
      <x:c r="L160" s="21" t="s">
        <x:v>1088</x:v>
      </x:c>
      <x:c r="M160" s="21" t="s">
        <x:v>1089</x:v>
      </x:c>
    </x:row>
    <x:row r="161" ht="28.5" customHeight="1">
      <x:c r="A161" s="20"/>
      <x:c r="B161" s="20"/>
      <x:c r="C161" s="21" t="s">
        <x:v>13</x:v>
      </x:c>
      <x:c r="D161" s="21" t="s">
        <x:v>15</x:v>
      </x:c>
      <x:c r="E161" s="21" t="s">
        <x:v>1070</x:v>
      </x:c>
      <x:c r="F161" s="21" t="s">
        <x:v>110</x:v>
      </x:c>
      <x:c r="G161" s="21">
        <x:v>5</x:v>
      </x:c>
      <x:c r="H161" s="21" t="s">
        <x:v>720</x:v>
      </x:c>
      <x:c r="I161" s="21" t="s">
        <x:v>1090</x:v>
      </x:c>
      <x:c r="J161" s="21" t="s">
        <x:v>1091</x:v>
      </x:c>
      <x:c r="K161" s="21" t="s">
        <x:v>1092</x:v>
      </x:c>
      <x:c r="L161" s="21" t="s">
        <x:v>1093</x:v>
      </x:c>
      <x:c r="M161" s="21" t="s">
        <x:v>1094</x:v>
      </x:c>
    </x:row>
    <x:row r="162" ht="28.5" customHeight="1">
      <x:c r="A162" s="20"/>
      <x:c r="B162" s="20"/>
      <x:c r="C162" s="21" t="s">
        <x:v>13</x:v>
      </x:c>
      <x:c r="D162" s="21" t="s">
        <x:v>15</x:v>
      </x:c>
      <x:c r="E162" s="21" t="s">
        <x:v>1070</x:v>
      </x:c>
      <x:c r="F162" s="21" t="s">
        <x:v>110</x:v>
      </x:c>
      <x:c r="G162" s="21">
        <x:v>6</x:v>
      </x:c>
      <x:c r="H162" s="21" t="s">
        <x:v>1045</x:v>
      </x:c>
      <x:c r="I162" s="21" t="s">
        <x:v>861</x:v>
      </x:c>
      <x:c r="J162" s="21" t="s">
        <x:v>1095</x:v>
      </x:c>
      <x:c r="K162" s="21" t="s">
        <x:v>1096</x:v>
      </x:c>
      <x:c r="L162" s="21" t="s">
        <x:v>1097</x:v>
      </x:c>
      <x:c r="M162" s="21" t="s">
        <x:v>1098</x:v>
      </x:c>
    </x:row>
    <x:row r="163" ht="28.5" customHeight="1">
      <x:c r="A163" s="20"/>
      <x:c r="B163" s="20"/>
      <x:c r="C163" s="21" t="s">
        <x:v>13</x:v>
      </x:c>
      <x:c r="D163" s="21" t="s">
        <x:v>15</x:v>
      </x:c>
      <x:c r="E163" s="21" t="s">
        <x:v>1070</x:v>
      </x:c>
      <x:c r="F163" s="21" t="s">
        <x:v>110</x:v>
      </x:c>
      <x:c r="G163" s="21">
        <x:v>7</x:v>
      </x:c>
      <x:c r="H163" s="21" t="s">
        <x:v>667</x:v>
      </x:c>
      <x:c r="I163" s="21" t="s">
        <x:v>1099</x:v>
      </x:c>
      <x:c r="J163" s="21" t="s">
        <x:v>1100</x:v>
      </x:c>
      <x:c r="K163" s="21" t="s">
        <x:v>1101</x:v>
      </x:c>
      <x:c r="L163" s="21" t="s">
        <x:v>1102</x:v>
      </x:c>
      <x:c r="M163" s="21" t="s">
        <x:v>1103</x:v>
      </x:c>
    </x:row>
    <x:row r="164" ht="28.5" customHeight="1">
      <x:c r="A164" s="20"/>
      <x:c r="B164" s="20"/>
      <x:c r="C164" s="21" t="s">
        <x:v>13</x:v>
      </x:c>
      <x:c r="D164" s="21" t="s">
        <x:v>15</x:v>
      </x:c>
      <x:c r="E164" s="21" t="s">
        <x:v>1070</x:v>
      </x:c>
      <x:c r="F164" s="21" t="s">
        <x:v>110</x:v>
      </x:c>
      <x:c r="G164" s="21">
        <x:v>8</x:v>
      </x:c>
      <x:c r="H164" s="21" t="s">
        <x:v>628</x:v>
      </x:c>
      <x:c r="I164" s="21" t="s">
        <x:v>1104</x:v>
      </x:c>
      <x:c r="J164" s="21" t="s">
        <x:v>1105</x:v>
      </x:c>
      <x:c r="K164" s="21" t="s">
        <x:v>1106</x:v>
      </x:c>
      <x:c r="L164" s="21" t="s">
        <x:v>1107</x:v>
      </x:c>
      <x:c r="M164" s="21" t="s">
        <x:v>1108</x:v>
      </x:c>
    </x:row>
    <x:row r="165" ht="28.5" customHeight="1">
      <x:c r="A165" s="20"/>
      <x:c r="B165" s="20"/>
      <x:c r="C165" s="21" t="s">
        <x:v>13</x:v>
      </x:c>
      <x:c r="D165" s="21" t="s">
        <x:v>15</x:v>
      </x:c>
      <x:c r="E165" s="21" t="s">
        <x:v>1109</x:v>
      </x:c>
      <x:c r="F165" s="21" t="s">
        <x:v>110</x:v>
      </x:c>
      <x:c r="G165" s="21">
        <x:v>1</x:v>
      </x:c>
      <x:c r="H165" s="21" t="s">
        <x:v>998</x:v>
      </x:c>
      <x:c r="I165" s="21" t="s">
        <x:v>1110</x:v>
      </x:c>
      <x:c r="J165" s="21" t="s">
        <x:v>1111</x:v>
      </x:c>
      <x:c r="K165" s="21" t="s">
        <x:v>1112</x:v>
      </x:c>
      <x:c r="L165" s="21" t="s">
        <x:v>1113</x:v>
      </x:c>
      <x:c r="M165" s="21" t="s">
        <x:v>1114</x:v>
      </x:c>
    </x:row>
    <x:row r="166" ht="28.5" customHeight="1">
      <x:c r="A166" s="20"/>
      <x:c r="B166" s="20"/>
      <x:c r="C166" s="21" t="s">
        <x:v>13</x:v>
      </x:c>
      <x:c r="D166" s="21" t="s">
        <x:v>15</x:v>
      </x:c>
      <x:c r="E166" s="21" t="s">
        <x:v>1109</x:v>
      </x:c>
      <x:c r="F166" s="21" t="s">
        <x:v>110</x:v>
      </x:c>
      <x:c r="G166" s="21">
        <x:v>2</x:v>
      </x:c>
      <x:c r="H166" s="21" t="s">
        <x:v>622</x:v>
      </x:c>
      <x:c r="I166" s="21" t="s">
        <x:v>1115</x:v>
      </x:c>
      <x:c r="J166" s="21" t="s">
        <x:v>1116</x:v>
      </x:c>
      <x:c r="K166" s="21" t="s">
        <x:v>1117</x:v>
      </x:c>
      <x:c r="L166" s="21" t="s">
        <x:v>1118</x:v>
      </x:c>
      <x:c r="M166" s="21" t="s">
        <x:v>1119</x:v>
      </x:c>
    </x:row>
    <x:row r="167" ht="28.5" customHeight="1">
      <x:c r="A167" s="20"/>
      <x:c r="B167" s="20"/>
      <x:c r="C167" s="21" t="s">
        <x:v>13</x:v>
      </x:c>
      <x:c r="D167" s="21" t="s">
        <x:v>15</x:v>
      </x:c>
      <x:c r="E167" s="21" t="s">
        <x:v>1109</x:v>
      </x:c>
      <x:c r="F167" s="21" t="s">
        <x:v>110</x:v>
      </x:c>
      <x:c r="G167" s="21">
        <x:v>3</x:v>
      </x:c>
      <x:c r="H167" s="21" t="s">
        <x:v>655</x:v>
      </x:c>
      <x:c r="I167" s="21" t="s">
        <x:v>1120</x:v>
      </x:c>
      <x:c r="J167" s="21" t="s">
        <x:v>1121</x:v>
      </x:c>
      <x:c r="K167" s="21" t="s">
        <x:v>1122</x:v>
      </x:c>
      <x:c r="L167" s="21" t="s">
        <x:v>1123</x:v>
      </x:c>
      <x:c r="M167" s="21" t="s">
        <x:v>1124</x:v>
      </x:c>
    </x:row>
    <x:row r="168" ht="28.5" customHeight="1">
      <x:c r="A168" s="20"/>
      <x:c r="B168" s="20"/>
      <x:c r="C168" s="21" t="s">
        <x:v>13</x:v>
      </x:c>
      <x:c r="D168" s="21" t="s">
        <x:v>15</x:v>
      </x:c>
      <x:c r="E168" s="21" t="s">
        <x:v>1109</x:v>
      </x:c>
      <x:c r="F168" s="21" t="s">
        <x:v>110</x:v>
      </x:c>
      <x:c r="G168" s="21">
        <x:v>4</x:v>
      </x:c>
      <x:c r="H168" s="21" t="s">
        <x:v>622</x:v>
      </x:c>
      <x:c r="I168" s="21" t="s">
        <x:v>1125</x:v>
      </x:c>
      <x:c r="J168" s="21" t="s">
        <x:v>1126</x:v>
      </x:c>
      <x:c r="K168" s="21" t="s">
        <x:v>1127</x:v>
      </x:c>
      <x:c r="L168" s="21" t="s">
        <x:v>1128</x:v>
      </x:c>
      <x:c r="M168" s="21" t="s">
        <x:v>1129</x:v>
      </x:c>
    </x:row>
    <x:row r="169" ht="28.5" customHeight="1">
      <x:c r="A169" s="20"/>
      <x:c r="B169" s="20"/>
      <x:c r="C169" s="21" t="s">
        <x:v>13</x:v>
      </x:c>
      <x:c r="D169" s="21" t="s">
        <x:v>15</x:v>
      </x:c>
      <x:c r="E169" s="21" t="s">
        <x:v>1109</x:v>
      </x:c>
      <x:c r="F169" s="21" t="s">
        <x:v>110</x:v>
      </x:c>
      <x:c r="G169" s="21">
        <x:v>5</x:v>
      </x:c>
      <x:c r="H169" s="21" t="s">
        <x:v>749</x:v>
      </x:c>
      <x:c r="I169" s="21" t="s">
        <x:v>966</x:v>
      </x:c>
      <x:c r="J169" s="21" t="s">
        <x:v>1130</x:v>
      </x:c>
      <x:c r="K169" s="21" t="s">
        <x:v>1131</x:v>
      </x:c>
      <x:c r="L169" s="21" t="s">
        <x:v>1132</x:v>
      </x:c>
      <x:c r="M169" s="21" t="s">
        <x:v>1133</x:v>
      </x:c>
    </x:row>
    <x:row r="170" ht="28.5" customHeight="1">
      <x:c r="A170" s="20"/>
      <x:c r="B170" s="20"/>
      <x:c r="C170" s="21" t="s">
        <x:v>13</x:v>
      </x:c>
      <x:c r="D170" s="21" t="s">
        <x:v>15</x:v>
      </x:c>
      <x:c r="E170" s="21" t="s">
        <x:v>1109</x:v>
      </x:c>
      <x:c r="F170" s="21" t="s">
        <x:v>110</x:v>
      </x:c>
      <x:c r="G170" s="21">
        <x:v>6</x:v>
      </x:c>
      <x:c r="H170" s="21" t="s">
        <x:v>622</x:v>
      </x:c>
      <x:c r="I170" s="21" t="s">
        <x:v>1065</x:v>
      </x:c>
      <x:c r="J170" s="21" t="s">
        <x:v>1134</x:v>
      </x:c>
      <x:c r="K170" s="21" t="s">
        <x:v>1135</x:v>
      </x:c>
      <x:c r="L170" s="21" t="s">
        <x:v>1136</x:v>
      </x:c>
      <x:c r="M170" s="21" t="s">
        <x:v>1137</x:v>
      </x:c>
    </x:row>
    <x:row r="171" ht="28.5" customHeight="1">
      <x:c r="A171" s="20"/>
      <x:c r="B171" s="20"/>
      <x:c r="C171" s="21" t="s">
        <x:v>13</x:v>
      </x:c>
      <x:c r="D171" s="21" t="s">
        <x:v>15</x:v>
      </x:c>
      <x:c r="E171" s="21" t="s">
        <x:v>1109</x:v>
      </x:c>
      <x:c r="F171" s="21" t="s">
        <x:v>110</x:v>
      </x:c>
      <x:c r="G171" s="21">
        <x:v>7</x:v>
      </x:c>
      <x:c r="H171" s="21" t="s">
        <x:v>1138</x:v>
      </x:c>
      <x:c r="I171" s="21" t="s">
        <x:v>1139</x:v>
      </x:c>
      <x:c r="J171" s="21" t="s">
        <x:v>1140</x:v>
      </x:c>
      <x:c r="K171" s="21" t="s">
        <x:v>1141</x:v>
      </x:c>
      <x:c r="L171" s="21" t="s">
        <x:v>1142</x:v>
      </x:c>
      <x:c r="M171" s="21" t="s">
        <x:v>1143</x:v>
      </x:c>
    </x:row>
    <x:row r="172" ht="28.5" customHeight="1">
      <x:c r="A172" s="20"/>
      <x:c r="B172" s="20"/>
      <x:c r="C172" s="21" t="s">
        <x:v>13</x:v>
      </x:c>
      <x:c r="D172" s="21" t="s">
        <x:v>15</x:v>
      </x:c>
      <x:c r="E172" s="21" t="s">
        <x:v>1109</x:v>
      </x:c>
      <x:c r="F172" s="21" t="s">
        <x:v>110</x:v>
      </x:c>
      <x:c r="G172" s="21">
        <x:v>8</x:v>
      </x:c>
      <x:c r="H172" s="21" t="s">
        <x:v>1144</x:v>
      </x:c>
      <x:c r="I172" s="21" t="s">
        <x:v>1145</x:v>
      </x:c>
      <x:c r="J172" s="21" t="s">
        <x:v>1146</x:v>
      </x:c>
      <x:c r="K172" s="21" t="s">
        <x:v>1147</x:v>
      </x:c>
      <x:c r="L172" s="21" t="s">
        <x:v>1148</x:v>
      </x:c>
      <x:c r="M172" s="21" t="s">
        <x:v>1149</x:v>
      </x:c>
    </x:row>
  </x:sheetData>
  <x:mergeCells>
    <x:mergeCell ref="A1:M1"/>
    <x:mergeCell ref="A2:M2"/>
  </x:mergeCells>
  <x:dataValidations count="1">
    <x:dataValidation type="list" sqref="A5:A204">
      <x:formula1>"ADD"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15.633333206176758" customWidth="1"/>
    <x:col min="2" max="2" width="31.25" customWidth="1"/>
    <x:col min="3" max="3" width="16.25" customWidth="1"/>
    <x:col min="4" max="4" width="75" customWidth="1"/>
  </x:cols>
  <x:sheetData>
    <x:row r="1" ht="25.5" customHeight="1">
      <x:c r="A1" s="15" t="s">
        <x:v>1150</x:v>
      </x:c>
      <x:c r="B1" s="1"/>
      <x:c r="C1" s="1"/>
      <x:c r="D1" s="1"/>
    </x:row>
    <x:row r="2" ht="31.5" customHeight="1">
      <x:c r="A2" s="2" t="s">
        <x:v>1151</x:v>
      </x:c>
      <x:c r="B2" s="2"/>
      <x:c r="C2" s="2"/>
      <x:c r="D2" s="2"/>
    </x:row>
    <x:row r="4" ht="24" customHeight="1">
      <x:c r="A4" s="3" t="s">
        <x:v>1152</x:v>
      </x:c>
      <x:c r="B4" s="3" t="s">
        <x:v>1153</x:v>
      </x:c>
      <x:c r="C4" s="3" t="s">
        <x:v>1154</x:v>
      </x:c>
      <x:c r="D4" s="3" t="s">
        <x:v>1155</x:v>
      </x:c>
    </x:row>
    <x:row r="5" ht="43.5" customHeight="1">
      <x:c r="A5" s="16" t="s">
        <x:v>1156</x:v>
      </x:c>
      <x:c r="B5" s="16" t="s">
        <x:v>1157</x:v>
      </x:c>
      <x:c r="C5" s="6" t="s">
        <x:v>1158</x:v>
      </x:c>
      <x:c r="D5" s="16" t="s">
        <x:v>1159</x:v>
      </x:c>
    </x:row>
    <x:row r="6" ht="43.5" customHeight="1">
      <x:c r="A6" s="16" t="s">
        <x:v>1160</x:v>
      </x:c>
      <x:c r="B6" s="16" t="s">
        <x:v>1161</x:v>
      </x:c>
      <x:c r="C6" s="6" t="s">
        <x:v>1158</x:v>
      </x:c>
      <x:c r="D6" s="16" t="s">
        <x:v>1162</x:v>
      </x:c>
    </x:row>
    <x:row r="7" ht="43.5" customHeight="1">
      <x:c r="A7" s="16" t="s">
        <x:v>1160</x:v>
      </x:c>
      <x:c r="B7" s="16" t="s">
        <x:v>1163</x:v>
      </x:c>
      <x:c r="C7" s="6" t="s">
        <x:v>1164</x:v>
      </x:c>
      <x:c r="D7" s="16" t="s">
        <x:v>1165</x:v>
      </x:c>
    </x:row>
    <x:row r="8" ht="43.5" customHeight="1">
      <x:c r="A8" s="16" t="s">
        <x:v>1160</x:v>
      </x:c>
      <x:c r="B8" s="16" t="s">
        <x:v>1166</x:v>
      </x:c>
      <x:c r="C8" s="6" t="s">
        <x:v>1167</x:v>
      </x:c>
      <x:c r="D8" s="16" t="s">
        <x:v>1168</x:v>
      </x:c>
    </x:row>
    <x:row r="9" ht="43.5" customHeight="1">
      <x:c r="A9" s="16" t="s">
        <x:v>1169</x:v>
      </x:c>
      <x:c r="B9" s="16" t="s">
        <x:v>1170</x:v>
      </x:c>
      <x:c r="C9" s="6" t="s">
        <x:v>1158</x:v>
      </x:c>
      <x:c r="D9" s="16" t="s">
        <x:v>1171</x:v>
      </x:c>
    </x:row>
    <x:row r="10" ht="43.5" customHeight="1">
      <x:c r="A10" s="16" t="s">
        <x:v>1169</x:v>
      </x:c>
      <x:c r="B10" s="16" t="s">
        <x:v>1172</x:v>
      </x:c>
      <x:c r="C10" s="6" t="s">
        <x:v>1173</x:v>
      </x:c>
      <x:c r="D10" s="16" t="s">
        <x:v>1174</x:v>
      </x:c>
    </x:row>
    <x:row r="11" ht="43.5" customHeight="1">
      <x:c r="A11" s="16" t="s">
        <x:v>1169</x:v>
      </x:c>
      <x:c r="B11" s="16" t="s">
        <x:v>1175</x:v>
      </x:c>
      <x:c r="C11" s="6" t="s">
        <x:v>1167</x:v>
      </x:c>
      <x:c r="D11" s="16" t="s">
        <x:v>1176</x:v>
      </x:c>
    </x:row>
    <x:row r="12" ht="43.5" customHeight="1">
      <x:c r="A12" s="16" t="s">
        <x:v>1169</x:v>
      </x:c>
      <x:c r="B12" s="16" t="s">
        <x:v>199</x:v>
      </x:c>
      <x:c r="C12" s="6" t="s">
        <x:v>1158</x:v>
      </x:c>
      <x:c r="D12" s="16" t="s">
        <x:v>1177</x:v>
      </x:c>
    </x:row>
    <x:row r="13" ht="43.5" customHeight="1">
      <x:c r="A13" s="16" t="s">
        <x:v>1169</x:v>
      </x:c>
      <x:c r="B13" s="16" t="s">
        <x:v>1178</x:v>
      </x:c>
      <x:c r="C13" s="6" t="s">
        <x:v>1158</x:v>
      </x:c>
      <x:c r="D13" s="16" t="s">
        <x:v>1179</x:v>
      </x:c>
    </x:row>
    <x:row r="14" ht="43.5" customHeight="1">
      <x:c r="A14" s="16" t="s">
        <x:v>1169</x:v>
      </x:c>
      <x:c r="B14" s="16" t="s">
        <x:v>1163</x:v>
      </x:c>
      <x:c r="C14" s="6" t="s">
        <x:v>1164</x:v>
      </x:c>
      <x:c r="D14" s="16" t="str">
        <x:v>绿色为 Codex 试译；用户已确认 16 个 KEEP Feature 的同一文本作为 English Final。W27 DROP 行不需要英文稿。</x:v>
      </x:c>
    </x:row>
    <x:row r="15" ht="43.5" customHeight="1">
      <x:c r="A15" s="16" t="s">
        <x:v>1169</x:v>
      </x:c>
      <x:c r="B15" s="16" t="s">
        <x:v>1180</x:v>
      </x:c>
      <x:c r="C15" s="6" t="s">
        <x:v>1181</x:v>
      </x:c>
      <x:c r="D15" s="16" t="s">
        <x:v>1182</x:v>
      </x:c>
    </x:row>
    <x:row r="16" ht="43.5" customHeight="1">
      <x:c r="A16" s="16" t="s">
        <x:v>1183</x:v>
      </x:c>
      <x:c r="B16" s="16" t="s">
        <x:v>1184</x:v>
      </x:c>
      <x:c r="C16" s="6" t="s">
        <x:v>1181</x:v>
      </x:c>
      <x:c r="D16" s="16" t="s">
        <x:v>1185</x:v>
      </x:c>
    </x:row>
    <x:row r="17" ht="43.5" customHeight="1">
      <x:c r="A17" s="16" t="s">
        <x:v>1183</x:v>
      </x:c>
      <x:c r="B17" s="16" t="s">
        <x:v>1186</x:v>
      </x:c>
      <x:c r="C17" s="6" t="s">
        <x:v>1187</x:v>
      </x:c>
      <x:c r="D17" s="16" t="s">
        <x:v>1188</x:v>
      </x:c>
    </x:row>
    <x:row r="18" ht="43.5" customHeight="1">
      <x:c r="A18" s="16" t="s">
        <x:v>1183</x:v>
      </x:c>
      <x:c r="B18" s="16" t="s">
        <x:v>1189</x:v>
      </x:c>
      <x:c r="C18" s="6" t="s">
        <x:v>1158</x:v>
      </x:c>
      <x:c r="D18" s="16" t="str">
        <x:v>全部 323 个父类别 / 子类别中文名称均已由用户确认并标记为 APPROVED；当前无 PENDING 或 REVISE 项目。</x:v>
      </x:c>
    </x:row>
    <x:row r="19" ht="43.5" customHeight="1">
      <x:c r="A19" s="16" t="s">
        <x:v>1190</x:v>
      </x:c>
      <x:c r="B19" s="16" t="s">
        <x:v>1191</x:v>
      </x:c>
      <x:c r="C19" s="6" t="s">
        <x:v>1158</x:v>
      </x:c>
      <x:c r="D19" s="16" t="s">
        <x:v>1192</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FormatPr defaultColWidth="9" defaultRowHeight="14"/>
  <x:cols>
    <x:col min="1" max="1" width="10.633333206176758" customWidth="1"/>
    <x:col min="2" max="2" width="23.75" customWidth="1"/>
    <x:col min="3" max="3" width="16.883333206176758" customWidth="1"/>
    <x:col min="4" max="4" width="23.75" customWidth="1"/>
    <x:col min="5" max="5" width="21.25" customWidth="1"/>
    <x:col min="6" max="8" width="27.5" customWidth="1"/>
    <x:col min="9" max="9" width="15" customWidth="1"/>
    <x:col min="10" max="10" width="27.5" customWidth="1"/>
    <x:col min="11" max="11" width="21.883333206176758" customWidth="1"/>
    <x:col min="12" max="12" width="35.63333511352539" customWidth="1"/>
  </x:cols>
  <x:sheetData>
    <x:row r="1" ht="25.5" customHeight="1">
      <x:c r="A1" s="1" t="s">
        <x:v>1193</x:v>
      </x:c>
      <x:c r="B1" s="1"/>
      <x:c r="C1" s="1"/>
      <x:c r="D1" s="1"/>
      <x:c r="E1" s="1"/>
      <x:c r="F1" s="1"/>
      <x:c r="G1" s="1"/>
      <x:c r="H1" s="1"/>
      <x:c r="I1" s="1"/>
      <x:c r="J1" s="1"/>
      <x:c r="K1" s="1"/>
    </x:row>
    <x:row r="2" ht="39" customHeight="1">
      <x:c r="A2" s="2" t="s">
        <x:v>1194</x:v>
      </x:c>
      <x:c r="B2" s="2"/>
      <x:c r="C2" s="2"/>
      <x:c r="D2" s="2"/>
      <x:c r="E2" s="2"/>
      <x:c r="F2" s="2"/>
      <x:c r="G2" s="2"/>
      <x:c r="H2" s="2"/>
      <x:c r="I2" s="2"/>
      <x:c r="J2" s="2"/>
      <x:c r="K2" s="2"/>
    </x:row>
    <x:row r="4" ht="24" customHeight="1">
      <x:c r="A4" s="3" t="s">
        <x:v>0</x:v>
      </x:c>
      <x:c r="B4" s="3" t="s">
        <x:v>208</x:v>
      </x:c>
      <x:c r="C4" s="3" t="s">
        <x:v>209</x:v>
      </x:c>
      <x:c r="D4" s="3" t="s">
        <x:v>1195</x:v>
      </x:c>
      <x:c r="E4" s="3" t="s">
        <x:v>1196</x:v>
      </x:c>
      <x:c r="F4" s="3" t="s">
        <x:v>1197</x:v>
      </x:c>
      <x:c r="G4" s="3" t="s">
        <x:v>1186</x:v>
      </x:c>
      <x:c r="H4" s="3" t="s">
        <x:v>1198</x:v>
      </x:c>
      <x:c r="I4" s="3" t="s">
        <x:v>33</x:v>
      </x:c>
      <x:c r="J4" s="3" t="s">
        <x:v>1199</x:v>
      </x:c>
      <x:c r="K4" s="3" t="s">
        <x:v>197</x:v>
      </x:c>
      <x:c r="L4" t="s">
        <x:v>210</x:v>
      </x:c>
    </x:row>
    <x:row r="5" ht="22.5" customHeight="1">
      <x:c r="A5" s="4" t="s">
        <x:v>9</x:v>
      </x:c>
      <x:c r="B5" s="4" t="s">
        <x:v>1200</x:v>
      </x:c>
      <x:c r="C5" s="4"/>
      <x:c r="D5" s="4" t="s">
        <x:v>1201</x:v>
      </x:c>
      <x:c r="E5" s="4"/>
      <x:c r="F5" s="4" t="s">
        <x:v>1201</x:v>
      </x:c>
      <x:c r="G5" s="5" t="s">
        <x:v>1202</x:v>
      </x:c>
      <x:c r="H5" s="6" t="s">
        <x:v>1203</x:v>
      </x:c>
      <x:c r="I5" s="6" t="s">
        <x:v>1204</x:v>
      </x:c>
      <x:c r="J5" s="7" t="str">
        <x:f t="shared" ref="J5:J68" si="0">IF(H5&lt;&gt;"",H5,G5)</x:f>
        <x:v>红蓝纪念碑</x:v>
      </x:c>
      <x:c r="K5" s="7" t="str">
        <x:f t="shared" ref="K5:K68" si="1">IF(I5="APPROVED","APPROVED",IF(I5="REVISE","REVISION REQUESTED","NEEDS OWNER REVIEW"))</x:f>
        <x:v>APPROVED</x:v>
      </x:c>
      <x:c r="L5" s="4" t="s">
        <x:v>1205</x:v>
      </x:c>
    </x:row>
    <x:row r="6" ht="22.5" customHeight="1">
      <x:c r="A6" s="4" t="s">
        <x:v>9</x:v>
      </x:c>
      <x:c r="B6" s="4" t="s">
        <x:v>1206</x:v>
      </x:c>
      <x:c r="C6" s="4"/>
      <x:c r="D6" s="4" t="s">
        <x:v>1207</x:v>
      </x:c>
      <x:c r="E6" s="4"/>
      <x:c r="F6" s="4" t="s">
        <x:v>1207</x:v>
      </x:c>
      <x:c r="G6" s="5" t="s">
        <x:v>1208</x:v>
      </x:c>
      <x:c r="H6" s="6" t="s">
        <x:v>1208</x:v>
      </x:c>
      <x:c r="I6" s="6" t="s">
        <x:v>1204</x:v>
      </x:c>
      <x:c r="J6" s="7" t="str">
        <x:f t="shared" si="0"/>
        <x:v>蓝黑回手</x:v>
      </x:c>
      <x:c r="K6" s="7" t="str">
        <x:f t="shared" si="1"/>
        <x:v>APPROVED</x:v>
      </x:c>
      <x:c r="L6" s="4" t="s">
        <x:v>1209</x:v>
      </x:c>
    </x:row>
    <x:row r="7" ht="22.5" customHeight="1">
      <x:c r="A7" s="4" t="s">
        <x:v>9</x:v>
      </x:c>
      <x:c r="B7" s="4" t="s">
        <x:v>325</x:v>
      </x:c>
      <x:c r="C7" s="4"/>
      <x:c r="D7" s="4" t="s">
        <x:v>156</x:v>
      </x:c>
      <x:c r="E7" s="4"/>
      <x:c r="F7" s="4" t="s">
        <x:v>156</x:v>
      </x:c>
      <x:c r="G7" s="5" t="s">
        <x:v>1210</x:v>
      </x:c>
      <x:c r="H7" s="6" t="s">
        <x:v>1210</x:v>
      </x:c>
      <x:c r="I7" s="6" t="s">
        <x:v>1204</x:v>
      </x:c>
      <x:c r="J7" s="7" t="str">
        <x:f t="shared" si="0"/>
        <x:v>蓝白救援</x:v>
      </x:c>
      <x:c r="K7" s="7" t="str">
        <x:f t="shared" si="1"/>
        <x:v>APPROVED</x:v>
      </x:c>
      <x:c r="L7" s="4" t="s">
        <x:v>326</x:v>
      </x:c>
    </x:row>
    <x:row r="8" ht="22.5" customHeight="1">
      <x:c r="A8" s="4" t="s">
        <x:v>9</x:v>
      </x:c>
      <x:c r="B8" s="4" t="s">
        <x:v>1211</x:v>
      </x:c>
      <x:c r="C8" s="4"/>
      <x:c r="D8" s="4" t="s">
        <x:v>1212</x:v>
      </x:c>
      <x:c r="E8" s="4"/>
      <x:c r="F8" s="4" t="s">
        <x:v>1212</x:v>
      </x:c>
      <x:c r="G8" s="5" t="s">
        <x:v>1213</x:v>
      </x:c>
      <x:c r="H8" s="8" t="s">
        <x:v>1214</x:v>
      </x:c>
      <x:c r="I8" s="6" t="s">
        <x:v>1204</x:v>
      </x:c>
      <x:c r="J8" s="7" t="str">
        <x:f t="shared" si="0"/>
        <x:v>铁木尔劈风师</x:v>
      </x:c>
      <x:c r="K8" s="7" t="str">
        <x:f t="shared" si="1"/>
        <x:v>APPROVED</x:v>
      </x:c>
      <x:c r="L8" s="4" t="s">
        <x:v>1215</x:v>
      </x:c>
    </x:row>
    <x:row r="9" ht="22.5" customHeight="1">
      <x:c r="A9" s="4" t="s">
        <x:v>9</x:v>
      </x:c>
      <x:c r="B9" s="4" t="s">
        <x:v>229</x:v>
      </x:c>
      <x:c r="C9" s="4"/>
      <x:c r="D9" s="4" t="s">
        <x:v>88</x:v>
      </x:c>
      <x:c r="E9" s="4"/>
      <x:c r="F9" s="4" t="s">
        <x:v>88</x:v>
      </x:c>
      <x:c r="G9" s="5" t="s">
        <x:v>1216</x:v>
      </x:c>
      <x:c r="H9" s="6" t="s">
        <x:v>1216</x:v>
      </x:c>
      <x:c r="I9" s="6" t="s">
        <x:v>1204</x:v>
      </x:c>
      <x:c r="J9" s="7" t="str">
        <x:f t="shared" si="0"/>
        <x:v>格利极石板</x:v>
      </x:c>
      <x:c r="K9" s="7" t="str">
        <x:f t="shared" si="1"/>
        <x:v>APPROVED</x:v>
      </x:c>
      <x:c r="L9" s="4" t="s">
        <x:v>230</x:v>
      </x:c>
    </x:row>
    <x:row r="10" ht="22.5" customHeight="1">
      <x:c r="A10" s="9" t="s">
        <x:v>9</x:v>
      </x:c>
      <x:c r="B10" s="9" t="s">
        <x:v>1217</x:v>
      </x:c>
      <x:c r="C10" s="9"/>
      <x:c r="D10" s="9" t="s">
        <x:v>1218</x:v>
      </x:c>
      <x:c r="E10" s="9"/>
      <x:c r="F10" s="9" t="s">
        <x:v>1218</x:v>
      </x:c>
      <x:c r="G10" s="10" t="s">
        <x:v>1219</x:v>
      </x:c>
      <x:c r="H10" s="11" t="s">
        <x:v>1219</x:v>
      </x:c>
      <x:c r="I10" s="11" t="s">
        <x:v>1204</x:v>
      </x:c>
      <x:c r="J10" s="12" t="str">
        <x:f t="shared" si="0"/>
        <x:v>矮人</x:v>
      </x:c>
      <x:c r="K10" s="12" t="str">
        <x:f t="shared" si="1"/>
        <x:v>APPROVED</x:v>
      </x:c>
      <x:c r="L10" s="13" t="s">
        <x:v>1220</x:v>
      </x:c>
    </x:row>
    <x:row r="11" ht="22.5" customHeight="1">
      <x:c r="A11" s="4" t="s">
        <x:v>9</x:v>
      </x:c>
      <x:c r="B11" s="4" t="s">
        <x:v>1217</x:v>
      </x:c>
      <x:c r="C11" s="4" t="s">
        <x:v>1221</x:v>
      </x:c>
      <x:c r="D11" s="4" t="s">
        <x:v>1218</x:v>
      </x:c>
      <x:c r="E11" s="4" t="s">
        <x:v>1222</x:v>
      </x:c>
      <x:c r="F11" s="4" t="s">
        <x:v>1223</x:v>
      </x:c>
      <x:c r="G11" s="5" t="s">
        <x:v>1224</x:v>
      </x:c>
      <x:c r="H11" s="6" t="s">
        <x:v>1225</x:v>
      </x:c>
      <x:c r="I11" s="6" t="s">
        <x:v>1204</x:v>
      </x:c>
      <x:c r="J11" s="7" t="str">
        <x:f t="shared" si="0"/>
        <x:v>红蓝矮人</x:v>
      </x:c>
      <x:c r="K11" s="7" t="str">
        <x:f t="shared" si="1"/>
        <x:v>APPROVED</x:v>
      </x:c>
      <x:c r="L11" s="4" t="s">
        <x:v>1226</x:v>
      </x:c>
    </x:row>
    <x:row r="12" ht="22.5" customHeight="1">
      <x:c r="A12" s="4" t="s">
        <x:v>9</x:v>
      </x:c>
      <x:c r="B12" s="4" t="s">
        <x:v>1217</x:v>
      </x:c>
      <x:c r="C12" s="4" t="s">
        <x:v>1227</x:v>
      </x:c>
      <x:c r="D12" s="4" t="s">
        <x:v>1218</x:v>
      </x:c>
      <x:c r="E12" s="4" t="s">
        <x:v>1228</x:v>
      </x:c>
      <x:c r="F12" s="4" t="s">
        <x:v>1229</x:v>
      </x:c>
      <x:c r="G12" s="5" t="s">
        <x:v>1230</x:v>
      </x:c>
      <x:c r="H12" s="8" t="s">
        <x:v>1230</x:v>
      </x:c>
      <x:c r="I12" s="6" t="s">
        <x:v>1204</x:v>
      </x:c>
      <x:c r="J12" s="7" t="str">
        <x:f t="shared" si="0"/>
        <x:v>红白矮人</x:v>
      </x:c>
      <x:c r="K12" s="7" t="str">
        <x:f t="shared" si="1"/>
        <x:v>APPROVED</x:v>
      </x:c>
      <x:c r="L12" s="4" t="s">
        <x:v>1231</x:v>
      </x:c>
    </x:row>
    <x:row r="13" ht="22.5" customHeight="1">
      <x:c r="A13" s="4" t="s">
        <x:v>9</x:v>
      </x:c>
      <x:c r="B13" s="4" t="s">
        <x:v>1232</x:v>
      </x:c>
      <x:c r="C13" s="4"/>
      <x:c r="D13" s="4" t="s">
        <x:v>1233</x:v>
      </x:c>
      <x:c r="E13" s="4"/>
      <x:c r="F13" s="4" t="s">
        <x:v>1233</x:v>
      </x:c>
      <x:c r="G13" s="5" t="s">
        <x:v>1234</x:v>
      </x:c>
      <x:c r="H13" s="8" t="s">
        <x:v>1235</x:v>
      </x:c>
      <x:c r="I13" s="6" t="s">
        <x:v>1204</x:v>
      </x:c>
      <x:c r="J13" s="7" t="str">
        <x:f t="shared" si="0"/>
        <x:v>课程纪念碑</x:v>
      </x:c>
      <x:c r="K13" s="7" t="str">
        <x:f t="shared" si="1"/>
        <x:v>APPROVED</x:v>
      </x:c>
      <x:c r="L13" s="4" t="s">
        <x:v>1236</x:v>
      </x:c>
    </x:row>
    <x:row r="14" ht="22.5" customHeight="1">
      <x:c r="A14" s="4" t="s">
        <x:v>9</x:v>
      </x:c>
      <x:c r="B14" s="4" t="s">
        <x:v>239</x:v>
      </x:c>
      <x:c r="C14" s="4"/>
      <x:c r="D14" s="4" t="s">
        <x:v>95</x:v>
      </x:c>
      <x:c r="E14" s="4"/>
      <x:c r="F14" s="4" t="s">
        <x:v>95</x:v>
      </x:c>
      <x:c r="G14" s="5" t="s">
        <x:v>1237</x:v>
      </x:c>
      <x:c r="H14" s="6" t="s">
        <x:v>1238</x:v>
      </x:c>
      <x:c r="I14" s="6" t="s">
        <x:v>1204</x:v>
      </x:c>
      <x:c r="J14" s="7" t="str">
        <x:f t="shared" si="0"/>
        <x:v>洁斯凯课程</x:v>
      </x:c>
      <x:c r="K14" s="7" t="str">
        <x:f t="shared" si="1"/>
        <x:v>APPROVED</x:v>
      </x:c>
      <x:c r="L14" s="4" t="s">
        <x:v>240</x:v>
      </x:c>
    </x:row>
    <x:row r="15" ht="22.5" customHeight="1">
      <x:c r="A15" s="4" t="s">
        <x:v>9</x:v>
      </x:c>
      <x:c r="B15" s="4" t="s">
        <x:v>1239</x:v>
      </x:c>
      <x:c r="C15" s="4"/>
      <x:c r="D15" s="4" t="s">
        <x:v>1240</x:v>
      </x:c>
      <x:c r="E15" s="4"/>
      <x:c r="F15" s="4" t="s">
        <x:v>1240</x:v>
      </x:c>
      <x:c r="G15" s="5" t="s">
        <x:v>1241</x:v>
      </x:c>
      <x:c r="H15" s="6" t="s">
        <x:v>1242</x:v>
      </x:c>
      <x:c r="I15" s="6" t="s">
        <x:v>1204</x:v>
      </x:c>
      <x:c r="J15" s="7" t="str">
        <x:f t="shared" si="0"/>
        <x:v>红蓝课程</x:v>
      </x:c>
      <x:c r="K15" s="7" t="str">
        <x:f t="shared" si="1"/>
        <x:v>APPROVED</x:v>
      </x:c>
      <x:c r="L15" s="4" t="s">
        <x:v>1243</x:v>
      </x:c>
    </x:row>
    <x:row r="16" ht="22.5" customHeight="1">
      <x:c r="A16" s="4" t="s">
        <x:v>9</x:v>
      </x:c>
      <x:c r="B16" s="4" t="s">
        <x:v>249</x:v>
      </x:c>
      <x:c r="C16" s="4"/>
      <x:c r="D16" s="4" t="s">
        <x:v>103</x:v>
      </x:c>
      <x:c r="E16" s="4"/>
      <x:c r="F16" s="4" t="s">
        <x:v>103</x:v>
      </x:c>
      <x:c r="G16" s="5" t="s">
        <x:v>1244</x:v>
      </x:c>
      <x:c r="H16" s="6" t="s">
        <x:v>1244</x:v>
      </x:c>
      <x:c r="I16" s="6" t="s">
        <x:v>1204</x:v>
      </x:c>
      <x:c r="J16" s="7" t="str">
        <x:f t="shared" si="0"/>
        <x:v>纯绿地落</x:v>
      </x:c>
      <x:c r="K16" s="7" t="str">
        <x:f t="shared" si="1"/>
        <x:v>APPROVED</x:v>
      </x:c>
      <x:c r="L16" s="4" t="s">
        <x:v>250</x:v>
      </x:c>
    </x:row>
    <x:row r="17" ht="22.5" customHeight="1">
      <x:c r="A17" s="4" t="s">
        <x:v>9</x:v>
      </x:c>
      <x:c r="B17" s="4" t="s">
        <x:v>1245</x:v>
      </x:c>
      <x:c r="C17" s="4"/>
      <x:c r="D17" s="4" t="s">
        <x:v>1246</x:v>
      </x:c>
      <x:c r="E17" s="4"/>
      <x:c r="F17" s="4" t="s">
        <x:v>1246</x:v>
      </x:c>
      <x:c r="G17" s="5" t="s">
        <x:v>1247</x:v>
      </x:c>
      <x:c r="H17" s="6" t="s">
        <x:v>1247</x:v>
      </x:c>
      <x:c r="I17" s="6" t="s">
        <x:v>1204</x:v>
      </x:c>
      <x:c r="J17" s="7" t="str">
        <x:f t="shared" si="0"/>
        <x:v>红绿地落</x:v>
      </x:c>
      <x:c r="K17" s="7" t="str">
        <x:f t="shared" si="1"/>
        <x:v>APPROVED</x:v>
      </x:c>
      <x:c r="L17" s="4" t="s">
        <x:v>1248</x:v>
      </x:c>
    </x:row>
    <x:row r="18" ht="22.5" customHeight="1">
      <x:c r="A18" s="4" t="s">
        <x:v>9</x:v>
      </x:c>
      <x:c r="B18" s="4" t="s">
        <x:v>351</x:v>
      </x:c>
      <x:c r="C18" s="4"/>
      <x:c r="D18" s="4" t="s">
        <x:v>174</x:v>
      </x:c>
      <x:c r="E18" s="4"/>
      <x:c r="F18" s="4" t="s">
        <x:v>174</x:v>
      </x:c>
      <x:c r="G18" s="5" t="s">
        <x:v>1249</x:v>
      </x:c>
      <x:c r="H18" s="8" t="s">
        <x:v>1250</x:v>
      </x:c>
      <x:c r="I18" s="6" t="s">
        <x:v>1204</x:v>
      </x:c>
      <x:c r="J18" s="7" t="str">
        <x:f t="shared" si="0"/>
        <x:v>白绿地落</x:v>
      </x:c>
      <x:c r="K18" s="7" t="str">
        <x:f t="shared" si="1"/>
        <x:v>APPROVED</x:v>
      </x:c>
      <x:c r="L18" s="4" t="s">
        <x:v>352</x:v>
      </x:c>
    </x:row>
    <x:row r="19" ht="22.5" customHeight="1">
      <x:c r="A19" s="4" t="s">
        <x:v>9</x:v>
      </x:c>
      <x:c r="B19" s="4" t="s">
        <x:v>1251</x:v>
      </x:c>
      <x:c r="C19" s="4"/>
      <x:c r="D19" s="4" t="s">
        <x:v>1252</x:v>
      </x:c>
      <x:c r="E19" s="4"/>
      <x:c r="F19" s="4" t="s">
        <x:v>1252</x:v>
      </x:c>
      <x:c r="G19" s="5" t="s">
        <x:v>1253</x:v>
      </x:c>
      <x:c r="H19" s="8" t="s">
        <x:v>1253</x:v>
      </x:c>
      <x:c r="I19" s="6" t="s">
        <x:v>1204</x:v>
      </x:c>
      <x:c r="J19" s="7" t="str">
        <x:f t="shared" si="0"/>
        <x:v>蓝黑拷打魔</x:v>
      </x:c>
      <x:c r="K19" s="7" t="str">
        <x:f t="shared" si="1"/>
        <x:v>APPROVED</x:v>
      </x:c>
      <x:c r="L19" s="4" t="s">
        <x:v>1254</x:v>
      </x:c>
    </x:row>
    <x:row r="20" ht="22.5" customHeight="1">
      <x:c r="A20" s="4" t="s">
        <x:v>9</x:v>
      </x:c>
      <x:c r="B20" s="4" t="s">
        <x:v>1255</x:v>
      </x:c>
      <x:c r="C20" s="4"/>
      <x:c r="D20" s="4" t="s">
        <x:v>1256</x:v>
      </x:c>
      <x:c r="E20" s="4"/>
      <x:c r="F20" s="4" t="s">
        <x:v>1256</x:v>
      </x:c>
      <x:c r="G20" s="5" t="s">
        <x:v>1257</x:v>
      </x:c>
      <x:c r="H20" s="6" t="s">
        <x:v>1258</x:v>
      </x:c>
      <x:c r="I20" s="6" t="s">
        <x:v>1204</x:v>
      </x:c>
      <x:c r="J20" s="7" t="str">
        <x:f t="shared" si="0"/>
        <x:v>班特韵律</x:v>
      </x:c>
      <x:c r="K20" s="7" t="str">
        <x:f t="shared" si="1"/>
        <x:v>APPROVED</x:v>
      </x:c>
      <x:c r="L20" s="4" t="s">
        <x:v>1259</x:v>
      </x:c>
    </x:row>
    <x:row r="21" ht="22.5" customHeight="1">
      <x:c r="A21" s="4" t="s">
        <x:v>9</x:v>
      </x:c>
      <x:c r="B21" s="4" t="s">
        <x:v>1260</x:v>
      </x:c>
      <x:c r="C21" s="4"/>
      <x:c r="D21" s="4" t="s">
        <x:v>1261</x:v>
      </x:c>
      <x:c r="E21" s="4"/>
      <x:c r="F21" s="4" t="s">
        <x:v>1261</x:v>
      </x:c>
      <x:c r="G21" s="5" t="s">
        <x:v>1262</x:v>
      </x:c>
      <x:c r="H21" s="6" t="s">
        <x:v>1263</x:v>
      </x:c>
      <x:c r="I21" s="6" t="s">
        <x:v>1204</x:v>
      </x:c>
      <x:c r="J21" s="7" t="str">
        <x:f t="shared" si="0"/>
        <x:v>蓝绿韵律</x:v>
      </x:c>
      <x:c r="K21" s="7" t="str">
        <x:f t="shared" si="1"/>
        <x:v>APPROVED</x:v>
      </x:c>
      <x:c r="L21" s="4" t="s">
        <x:v>1264</x:v>
      </x:c>
    </x:row>
    <x:row r="22" ht="22.5" customHeight="1">
      <x:c r="A22" s="4" t="s">
        <x:v>9</x:v>
      </x:c>
      <x:c r="B22" s="4" t="s">
        <x:v>1265</x:v>
      </x:c>
      <x:c r="C22" s="4"/>
      <x:c r="D22" s="4" t="s">
        <x:v>1266</x:v>
      </x:c>
      <x:c r="E22" s="4"/>
      <x:c r="F22" s="4" t="s">
        <x:v>1266</x:v>
      </x:c>
      <x:c r="G22" s="5" t="s">
        <x:v>1267</x:v>
      </x:c>
      <x:c r="H22" s="6" t="s">
        <x:v>1268</x:v>
      </x:c>
      <x:c r="I22" s="6" t="s">
        <x:v>1204</x:v>
      </x:c>
      <x:c r="J22" s="7" t="str">
        <x:f t="shared" si="0"/>
        <x:v>白绿韵律</x:v>
      </x:c>
      <x:c r="K22" s="7" t="str">
        <x:f t="shared" si="1"/>
        <x:v>APPROVED</x:v>
      </x:c>
      <x:c r="L22" s="4" t="s">
        <x:v>1269</x:v>
      </x:c>
    </x:row>
    <x:row r="23" ht="22.5" customHeight="1">
      <x:c r="A23" s="4" t="s">
        <x:v>9</x:v>
      </x:c>
      <x:c r="B23" s="4" t="s">
        <x:v>266</x:v>
      </x:c>
      <x:c r="C23" s="4"/>
      <x:c r="D23" s="4" t="s">
        <x:v>118</x:v>
      </x:c>
      <x:c r="E23" s="4"/>
      <x:c r="F23" s="4" t="s">
        <x:v>118</x:v>
      </x:c>
      <x:c r="G23" s="5" t="s">
        <x:v>1270</x:v>
      </x:c>
      <x:c r="H23" s="8" t="s">
        <x:v>1270</x:v>
      </x:c>
      <x:c r="I23" s="6" t="s">
        <x:v>1204</x:v>
      </x:c>
      <x:c r="J23" s="7" t="str">
        <x:f t="shared" si="0"/>
        <x:v>蓝黑中速</x:v>
      </x:c>
      <x:c r="K23" s="7" t="str">
        <x:f t="shared" si="1"/>
        <x:v>APPROVED</x:v>
      </x:c>
      <x:c r="L23" s="4" t="s">
        <x:v>267</x:v>
      </x:c>
    </x:row>
    <x:row r="24" ht="22.5" customHeight="1">
      <x:c r="A24" s="4" t="s">
        <x:v>9</x:v>
      </x:c>
      <x:c r="B24" s="4" t="s">
        <x:v>1271</x:v>
      </x:c>
      <x:c r="C24" s="4"/>
      <x:c r="D24" s="4" t="s">
        <x:v>375</x:v>
      </x:c>
      <x:c r="E24" s="4"/>
      <x:c r="F24" s="4" t="s">
        <x:v>375</x:v>
      </x:c>
      <x:c r="G24" s="5" t="s">
        <x:v>1272</x:v>
      </x:c>
      <x:c r="H24" s="6" t="s">
        <x:v>1273</x:v>
      </x:c>
      <x:c r="I24" s="6" t="s">
        <x:v>1204</x:v>
      </x:c>
      <x:c r="J24" s="7" t="str">
        <x:f t="shared" si="0"/>
        <x:v>红蓝元素</x:v>
      </x:c>
      <x:c r="K24" s="7" t="str">
        <x:f t="shared" si="1"/>
        <x:v>APPROVED</x:v>
      </x:c>
      <x:c r="L24" s="4" t="s">
        <x:v>1274</x:v>
      </x:c>
    </x:row>
    <x:row r="25" ht="22.5" customHeight="1">
      <x:c r="A25" s="4" t="s">
        <x:v>9</x:v>
      </x:c>
      <x:c r="B25" s="4" t="s">
        <x:v>1275</x:v>
      </x:c>
      <x:c r="C25" s="4"/>
      <x:c r="D25" s="4" t="s">
        <x:v>1276</x:v>
      </x:c>
      <x:c r="E25" s="4"/>
      <x:c r="F25" s="4" t="s">
        <x:v>1276</x:v>
      </x:c>
      <x:c r="G25" s="5" t="s">
        <x:v>1277</x:v>
      </x:c>
      <x:c r="H25" s="6" t="s">
        <x:v>1278</x:v>
      </x:c>
      <x:c r="I25" s="6" t="s">
        <x:v>1204</x:v>
      </x:c>
      <x:c r="J25" s="7" t="str">
        <x:f t="shared" si="0"/>
        <x:v>纯蓝元素</x:v>
      </x:c>
      <x:c r="K25" s="7" t="str">
        <x:f t="shared" si="1"/>
        <x:v>APPROVED</x:v>
      </x:c>
      <x:c r="L25" s="4" t="s">
        <x:v>1279</x:v>
      </x:c>
    </x:row>
    <x:row r="26" ht="22.5" customHeight="1">
      <x:c r="A26" s="4" t="s">
        <x:v>9</x:v>
      </x:c>
      <x:c r="B26" s="4" t="s">
        <x:v>1280</x:v>
      </x:c>
      <x:c r="C26" s="4"/>
      <x:c r="D26" s="4" t="s">
        <x:v>606</x:v>
      </x:c>
      <x:c r="E26" s="4"/>
      <x:c r="F26" s="4" t="s">
        <x:v>606</x:v>
      </x:c>
      <x:c r="G26" s="5" t="s">
        <x:v>1281</x:v>
      </x:c>
      <x:c r="H26" s="6" t="s">
        <x:v>1281</x:v>
      </x:c>
      <x:c r="I26" s="6" t="s">
        <x:v>1204</x:v>
      </x:c>
      <x:c r="J26" s="7" t="str">
        <x:f t="shared" si="0"/>
        <x:v>加速元素</x:v>
      </x:c>
      <x:c r="K26" s="7" t="str">
        <x:f t="shared" si="1"/>
        <x:v>APPROVED</x:v>
      </x:c>
      <x:c r="L26" s="4" t="s">
        <x:v>1282</x:v>
      </x:c>
    </x:row>
    <x:row r="27" ht="22.5" customHeight="1">
      <x:c r="A27" s="4" t="s">
        <x:v>9</x:v>
      </x:c>
      <x:c r="B27" s="4" t="s">
        <x:v>1283</x:v>
      </x:c>
      <x:c r="C27" s="4"/>
      <x:c r="D27" s="4" t="s">
        <x:v>1284</x:v>
      </x:c>
      <x:c r="E27" s="4"/>
      <x:c r="F27" s="4" t="s">
        <x:v>1284</x:v>
      </x:c>
      <x:c r="G27" s="5" t="s">
        <x:v>1285</x:v>
      </x:c>
      <x:c r="H27" s="6" t="s">
        <x:v>1285</x:v>
      </x:c>
      <x:c r="I27" s="6" t="s">
        <x:v>1204</x:v>
      </x:c>
      <x:c r="J27" s="7" t="str">
        <x:f t="shared" si="0"/>
        <x:v>铁木尔石板</x:v>
      </x:c>
      <x:c r="K27" s="7" t="str">
        <x:f t="shared" si="1"/>
        <x:v>APPROVED</x:v>
      </x:c>
      <x:c r="L27" s="4" t="s">
        <x:v>1286</x:v>
      </x:c>
    </x:row>
    <x:row r="28" ht="22.5" customHeight="1">
      <x:c r="A28" s="4" t="s">
        <x:v>9</x:v>
      </x:c>
      <x:c r="B28" s="4" t="s">
        <x:v>217</x:v>
      </x:c>
      <x:c r="C28" s="4"/>
      <x:c r="D28" s="4" t="s">
        <x:v>80</x:v>
      </x:c>
      <x:c r="E28" s="4"/>
      <x:c r="F28" s="4" t="s">
        <x:v>80</x:v>
      </x:c>
      <x:c r="G28" s="5" t="s">
        <x:v>1287</x:v>
      </x:c>
      <x:c r="H28" s="6" t="s">
        <x:v>1287</x:v>
      </x:c>
      <x:c r="I28" s="6" t="s">
        <x:v>1204</x:v>
      </x:c>
      <x:c r="J28" s="7" t="str">
        <x:f t="shared" si="0"/>
        <x:v>四色石板</x:v>
      </x:c>
      <x:c r="K28" s="7" t="str">
        <x:f t="shared" si="1"/>
        <x:v>APPROVED</x:v>
      </x:c>
      <x:c r="L28" s="4" t="s">
        <x:v>218</x:v>
      </x:c>
    </x:row>
    <x:row r="29" ht="22.5" customHeight="1">
      <x:c r="A29" s="4" t="s">
        <x:v>9</x:v>
      </x:c>
      <x:c r="B29" s="4" t="s">
        <x:v>333</x:v>
      </x:c>
      <x:c r="C29" s="4"/>
      <x:c r="D29" s="4" t="s">
        <x:v>162</x:v>
      </x:c>
      <x:c r="E29" s="4"/>
      <x:c r="F29" s="4" t="s">
        <x:v>162</x:v>
      </x:c>
      <x:c r="G29" s="5" t="s">
        <x:v>1288</x:v>
      </x:c>
      <x:c r="H29" s="6" t="s">
        <x:v>1288</x:v>
      </x:c>
      <x:c r="I29" s="6" t="s">
        <x:v>1204</x:v>
      </x:c>
      <x:c r="J29" s="7" t="str">
        <x:f t="shared" si="0"/>
        <x:v>洁斯凯石板</x:v>
      </x:c>
      <x:c r="K29" s="7" t="str">
        <x:f t="shared" si="1"/>
        <x:v>APPROVED</x:v>
      </x:c>
      <x:c r="L29" s="4" t="s">
        <x:v>334</x:v>
      </x:c>
    </x:row>
    <x:row r="30" ht="22.5" customHeight="1">
      <x:c r="A30" s="4" t="s">
        <x:v>9</x:v>
      </x:c>
      <x:c r="B30" s="4" t="s">
        <x:v>1289</x:v>
      </x:c>
      <x:c r="C30" s="4"/>
      <x:c r="D30" s="4" t="s">
        <x:v>1290</x:v>
      </x:c>
      <x:c r="E30" s="4"/>
      <x:c r="F30" s="4" t="s">
        <x:v>1290</x:v>
      </x:c>
      <x:c r="G30" s="5" t="s">
        <x:v>1291</x:v>
      </x:c>
      <x:c r="H30" s="6" t="s">
        <x:v>1291</x:v>
      </x:c>
      <x:c r="I30" s="6" t="s">
        <x:v>1204</x:v>
      </x:c>
      <x:c r="J30" s="7" t="str">
        <x:f t="shared" si="0"/>
        <x:v>洁斯凯控制</x:v>
      </x:c>
      <x:c r="K30" s="7" t="str">
        <x:f t="shared" si="1"/>
        <x:v>APPROVED</x:v>
      </x:c>
      <x:c r="L30" s="4" t="s">
        <x:v>1292</x:v>
      </x:c>
    </x:row>
    <x:row r="31" ht="22.5" customHeight="1">
      <x:c r="A31" s="4" t="s">
        <x:v>9</x:v>
      </x:c>
      <x:c r="B31" s="4" t="s">
        <x:v>296</x:v>
      </x:c>
      <x:c r="C31" s="4"/>
      <x:c r="D31" s="4" t="s">
        <x:v>136</x:v>
      </x:c>
      <x:c r="E31" s="4"/>
      <x:c r="F31" s="4" t="s">
        <x:v>136</x:v>
      </x:c>
      <x:c r="G31" s="5" t="s">
        <x:v>1293</x:v>
      </x:c>
      <x:c r="H31" s="6" t="s">
        <x:v>1293</x:v>
      </x:c>
      <x:c r="I31" s="6" t="s">
        <x:v>1204</x:v>
      </x:c>
      <x:c r="J31" s="7" t="str">
        <x:f t="shared" si="0"/>
        <x:v>红白龙</x:v>
      </x:c>
      <x:c r="K31" s="7" t="str">
        <x:f t="shared" si="1"/>
        <x:v>APPROVED</x:v>
      </x:c>
      <x:c r="L31" s="4" t="s">
        <x:v>297</x:v>
      </x:c>
    </x:row>
    <x:row r="32" ht="22.5" customHeight="1">
      <x:c r="A32" s="4" t="s">
        <x:v>9</x:v>
      </x:c>
      <x:c r="B32" s="4" t="s">
        <x:v>304</x:v>
      </x:c>
      <x:c r="C32" s="4"/>
      <x:c r="D32" s="4" t="s">
        <x:v>142</x:v>
      </x:c>
      <x:c r="E32" s="4"/>
      <x:c r="F32" s="4" t="s">
        <x:v>142</x:v>
      </x:c>
      <x:c r="G32" s="5" t="s">
        <x:v>1294</x:v>
      </x:c>
      <x:c r="H32" s="6" t="s">
        <x:v>1294</x:v>
      </x:c>
      <x:c r="I32" s="6" t="s">
        <x:v>1204</x:v>
      </x:c>
      <x:c r="J32" s="7" t="str">
        <x:f t="shared" si="0"/>
        <x:v>纯红龙</x:v>
      </x:c>
      <x:c r="K32" s="7" t="str">
        <x:f t="shared" si="1"/>
        <x:v>APPROVED</x:v>
      </x:c>
      <x:c r="L32" s="4" t="s">
        <x:v>305</x:v>
      </x:c>
    </x:row>
    <x:row r="33" ht="22.5" customHeight="1">
      <x:c r="A33" s="4" t="s">
        <x:v>9</x:v>
      </x:c>
      <x:c r="B33" s="4" t="s">
        <x:v>1295</x:v>
      </x:c>
      <x:c r="C33" s="4"/>
      <x:c r="D33" s="4" t="s">
        <x:v>1296</x:v>
      </x:c>
      <x:c r="E33" s="4"/>
      <x:c r="F33" s="4" t="s">
        <x:v>1296</x:v>
      </x:c>
      <x:c r="G33" s="5" t="s">
        <x:v>1297</x:v>
      </x:c>
      <x:c r="H33" s="6" t="s">
        <x:v>1297</x:v>
      </x:c>
      <x:c r="I33" s="6" t="s">
        <x:v>1204</x:v>
      </x:c>
      <x:c r="J33" s="7" t="str">
        <x:f t="shared" si="0"/>
        <x:v>红白衍生物</x:v>
      </x:c>
      <x:c r="K33" s="7" t="str">
        <x:f t="shared" si="1"/>
        <x:v>APPROVED</x:v>
      </x:c>
      <x:c r="L33" s="4" t="s">
        <x:v>1298</x:v>
      </x:c>
    </x:row>
    <x:row r="34" ht="22.5" customHeight="1">
      <x:c r="A34" s="4" t="s">
        <x:v>9</x:v>
      </x:c>
      <x:c r="B34" s="4" t="s">
        <x:v>1299</x:v>
      </x:c>
      <x:c r="C34" s="4"/>
      <x:c r="D34" s="4" t="s">
        <x:v>1300</x:v>
      </x:c>
      <x:c r="E34" s="4"/>
      <x:c r="F34" s="4" t="s">
        <x:v>1300</x:v>
      </x:c>
      <x:c r="G34" s="5" t="s">
        <x:v>1301</x:v>
      </x:c>
      <x:c r="H34" s="6" t="s">
        <x:v>1302</x:v>
      </x:c>
      <x:c r="I34" s="6" t="s">
        <x:v>1204</x:v>
      </x:c>
      <x:c r="J34" s="7" t="str">
        <x:f t="shared" si="0"/>
        <x:v>红蓝投掷</x:v>
      </x:c>
      <x:c r="K34" s="7" t="str">
        <x:f t="shared" si="1"/>
        <x:v>APPROVED</x:v>
      </x:c>
      <x:c r="L34" s="4" t="s">
        <x:v>1303</x:v>
      </x:c>
    </x:row>
    <x:row r="35" ht="22.5" customHeight="1">
      <x:c r="A35" s="4" t="s">
        <x:v>9</x:v>
      </x:c>
      <x:c r="B35" s="4" t="s">
        <x:v>1304</x:v>
      </x:c>
      <x:c r="C35" s="4"/>
      <x:c r="D35" s="4" t="s">
        <x:v>1305</x:v>
      </x:c>
      <x:c r="E35" s="4"/>
      <x:c r="F35" s="4" t="s">
        <x:v>1305</x:v>
      </x:c>
      <x:c r="G35" s="5" t="s">
        <x:v>1306</x:v>
      </x:c>
      <x:c r="H35" s="6" t="s">
        <x:v>1306</x:v>
      </x:c>
      <x:c r="I35" s="6" t="s">
        <x:v>1204</x:v>
      </x:c>
      <x:c r="J35" s="7" t="str">
        <x:f t="shared" si="0"/>
        <x:v>红绿投掷</x:v>
      </x:c>
      <x:c r="K35" s="7" t="str">
        <x:f t="shared" si="1"/>
        <x:v>APPROVED</x:v>
      </x:c>
      <x:c r="L35" s="4" t="s">
        <x:v>1307</x:v>
      </x:c>
    </x:row>
    <x:row r="36" ht="22.5" customHeight="1">
      <x:c r="A36" s="4" t="s">
        <x:v>9</x:v>
      </x:c>
      <x:c r="B36" s="4" t="s">
        <x:v>1308</x:v>
      </x:c>
      <x:c r="C36" s="4"/>
      <x:c r="D36" s="4" t="s">
        <x:v>1309</x:v>
      </x:c>
      <x:c r="E36" s="4"/>
      <x:c r="F36" s="4" t="s">
        <x:v>1309</x:v>
      </x:c>
      <x:c r="G36" s="5" t="s">
        <x:v>1310</x:v>
      </x:c>
      <x:c r="H36" s="8" t="s">
        <x:v>1311</x:v>
      </x:c>
      <x:c r="I36" s="6" t="s">
        <x:v>1204</x:v>
      </x:c>
      <x:c r="J36" s="7" t="str">
        <x:f t="shared" si="0"/>
        <x:v>红蓝灵技</x:v>
      </x:c>
      <x:c r="K36" s="7" t="str">
        <x:f t="shared" si="1"/>
        <x:v>APPROVED</x:v>
      </x:c>
      <x:c r="L36" s="4" t="s">
        <x:v>1312</x:v>
      </x:c>
    </x:row>
    <x:row r="37" ht="22.5" customHeight="1">
      <x:c r="A37" s="4" t="s">
        <x:v>9</x:v>
      </x:c>
      <x:c r="B37" s="4" t="s">
        <x:v>1313</x:v>
      </x:c>
      <x:c r="C37" s="4"/>
      <x:c r="D37" s="4" t="s">
        <x:v>1314</x:v>
      </x:c>
      <x:c r="E37" s="4"/>
      <x:c r="F37" s="4" t="s">
        <x:v>1314</x:v>
      </x:c>
      <x:c r="G37" s="5" t="s">
        <x:v>1315</x:v>
      </x:c>
      <x:c r="H37" s="8" t="s">
        <x:v>1316</x:v>
      </x:c>
      <x:c r="I37" s="6" t="s">
        <x:v>1204</x:v>
      </x:c>
      <x:c r="J37" s="7" t="str">
        <x:f t="shared" si="0"/>
        <x:v>班特截气</x:v>
      </x:c>
      <x:c r="K37" s="7" t="str">
        <x:f t="shared" si="1"/>
        <x:v>APPROVED</x:v>
      </x:c>
      <x:c r="L37" s="4" t="s">
        <x:v>1317</x:v>
      </x:c>
    </x:row>
    <x:row r="38" ht="22.5" customHeight="1">
      <x:c r="A38" s="4" t="s">
        <x:v>9</x:v>
      </x:c>
      <x:c r="B38" s="4" t="s">
        <x:v>1318</x:v>
      </x:c>
      <x:c r="C38" s="4"/>
      <x:c r="D38" s="4" t="s">
        <x:v>1319</x:v>
      </x:c>
      <x:c r="E38" s="4"/>
      <x:c r="F38" s="4" t="s">
        <x:v>1319</x:v>
      </x:c>
      <x:c r="G38" s="5" t="s">
        <x:v>1320</x:v>
      </x:c>
      <x:c r="H38" s="6" t="s">
        <x:v>1321</x:v>
      </x:c>
      <x:c r="I38" s="6" t="s">
        <x:v>1204</x:v>
      </x:c>
      <x:c r="J38" s="7" t="str">
        <x:f t="shared" si="0"/>
        <x:v>铁木尔谐颂者</x:v>
      </x:c>
      <x:c r="K38" s="7" t="str">
        <x:f t="shared" si="1"/>
        <x:v>APPROVED</x:v>
      </x:c>
      <x:c r="L38" s="4" t="s">
        <x:v>1322</x:v>
      </x:c>
    </x:row>
    <x:row r="39" ht="22.5" customHeight="1">
      <x:c r="A39" s="4" t="s">
        <x:v>9</x:v>
      </x:c>
      <x:c r="B39" s="4" t="s">
        <x:v>1323</x:v>
      </x:c>
      <x:c r="C39" s="4"/>
      <x:c r="D39" s="4" t="s">
        <x:v>1324</x:v>
      </x:c>
      <x:c r="E39" s="4"/>
      <x:c r="F39" s="4" t="s">
        <x:v>1324</x:v>
      </x:c>
      <x:c r="G39" s="5" t="s">
        <x:v>1325</x:v>
      </x:c>
      <x:c r="H39" s="6" t="s">
        <x:v>1325</x:v>
      </x:c>
      <x:c r="I39" s="6" t="s">
        <x:v>1204</x:v>
      </x:c>
      <x:c r="J39" s="7" t="str">
        <x:f t="shared" si="0"/>
        <x:v>纯红快攻</x:v>
      </x:c>
      <x:c r="K39" s="7" t="str">
        <x:f t="shared" si="1"/>
        <x:v>APPROVED</x:v>
      </x:c>
      <x:c r="L39" s="4" t="s">
        <x:v>1326</x:v>
      </x:c>
    </x:row>
    <x:row r="40" ht="22.5" customHeight="1">
      <x:c r="A40" s="4" t="s">
        <x:v>9</x:v>
      </x:c>
      <x:c r="B40" s="4" t="s">
        <x:v>1327</x:v>
      </x:c>
      <x:c r="C40" s="4"/>
      <x:c r="D40" s="4" t="s">
        <x:v>448</x:v>
      </x:c>
      <x:c r="E40" s="4"/>
      <x:c r="F40" s="4" t="s">
        <x:v>448</x:v>
      </x:c>
      <x:c r="G40" s="5" t="s">
        <x:v>1328</x:v>
      </x:c>
      <x:c r="H40" s="6" t="s">
        <x:v>1328</x:v>
      </x:c>
      <x:c r="I40" s="6" t="s">
        <x:v>1204</x:v>
      </x:c>
      <x:c r="J40" s="7" t="str">
        <x:f t="shared" si="0"/>
        <x:v>玛尔都弃牌</x:v>
      </x:c>
      <x:c r="K40" s="7" t="str">
        <x:f t="shared" si="1"/>
        <x:v>APPROVED</x:v>
      </x:c>
      <x:c r="L40" s="4" t="s">
        <x:v>1329</x:v>
      </x:c>
    </x:row>
    <x:row r="41" ht="22.5" customHeight="1">
      <x:c r="A41" s="4" t="s">
        <x:v>9</x:v>
      </x:c>
      <x:c r="B41" s="4" t="s">
        <x:v>1330</x:v>
      </x:c>
      <x:c r="C41" s="4"/>
      <x:c r="D41" s="4" t="s">
        <x:v>1331</x:v>
      </x:c>
      <x:c r="E41" s="4"/>
      <x:c r="F41" s="4" t="s">
        <x:v>1331</x:v>
      </x:c>
      <x:c r="G41" s="5" t="s">
        <x:v>1332</x:v>
      </x:c>
      <x:c r="H41" s="6" t="s">
        <x:v>1332</x:v>
      </x:c>
      <x:c r="I41" s="6" t="s">
        <x:v>1204</x:v>
      </x:c>
      <x:c r="J41" s="7" t="str">
        <x:f t="shared" si="0"/>
        <x:v>红黑弃牌</x:v>
      </x:c>
      <x:c r="K41" s="7" t="str">
        <x:f t="shared" si="1"/>
        <x:v>APPROVED</x:v>
      </x:c>
      <x:c r="L41" s="4" t="s">
        <x:v>1333</x:v>
      </x:c>
    </x:row>
    <x:row r="42" ht="22.5" customHeight="1">
      <x:c r="A42" s="4" t="s">
        <x:v>9</x:v>
      </x:c>
      <x:c r="B42" s="4" t="s">
        <x:v>1334</x:v>
      </x:c>
      <x:c r="C42" s="4"/>
      <x:c r="D42" s="4" t="s">
        <x:v>1335</x:v>
      </x:c>
      <x:c r="E42" s="4"/>
      <x:c r="F42" s="4" t="s">
        <x:v>1335</x:v>
      </x:c>
      <x:c r="G42" s="5" t="s">
        <x:v>1336</x:v>
      </x:c>
      <x:c r="H42" s="8" t="s">
        <x:v>1336</x:v>
      </x:c>
      <x:c r="I42" s="6" t="s">
        <x:v>1204</x:v>
      </x:c>
      <x:c r="J42" s="7" t="str">
        <x:f t="shared" si="0"/>
        <x:v>格利极弃牌</x:v>
      </x:c>
      <x:c r="K42" s="7" t="str">
        <x:f t="shared" si="1"/>
        <x:v>APPROVED</x:v>
      </x:c>
      <x:c r="L42" s="4" t="s">
        <x:v>1337</x:v>
      </x:c>
    </x:row>
    <x:row r="43" ht="22.5" customHeight="1">
      <x:c r="A43" s="4" t="s">
        <x:v>9</x:v>
      </x:c>
      <x:c r="B43" s="4" t="s">
        <x:v>1338</x:v>
      </x:c>
      <x:c r="C43" s="4"/>
      <x:c r="D43" s="4" t="s">
        <x:v>1339</x:v>
      </x:c>
      <x:c r="E43" s="4"/>
      <x:c r="F43" s="4" t="s">
        <x:v>1339</x:v>
      </x:c>
      <x:c r="G43" s="5" t="s">
        <x:v>1340</x:v>
      </x:c>
      <x:c r="H43" s="8" t="s">
        <x:v>1341</x:v>
      </x:c>
      <x:c r="I43" s="6" t="s">
        <x:v>1204</x:v>
      </x:c>
      <x:c r="J43" s="7" t="str">
        <x:f t="shared" si="0"/>
        <x:v>红蓝云移</x:v>
      </x:c>
      <x:c r="K43" s="7" t="str">
        <x:f t="shared" si="1"/>
        <x:v>APPROVED</x:v>
      </x:c>
      <x:c r="L43" s="4" t="s">
        <x:v>1342</x:v>
      </x:c>
    </x:row>
    <x:row r="44" ht="22.5" customHeight="1">
      <x:c r="A44" s="4" t="s">
        <x:v>9</x:v>
      </x:c>
      <x:c r="B44" s="4" t="s">
        <x:v>1343</x:v>
      </x:c>
      <x:c r="C44" s="4"/>
      <x:c r="D44" s="4" t="s">
        <x:v>391</x:v>
      </x:c>
      <x:c r="E44" s="4"/>
      <x:c r="F44" s="4" t="s">
        <x:v>391</x:v>
      </x:c>
      <x:c r="G44" s="5" t="s">
        <x:v>1344</x:v>
      </x:c>
      <x:c r="H44" s="8" t="s">
        <x:v>1344</x:v>
      </x:c>
      <x:c r="I44" s="6" t="s">
        <x:v>1204</x:v>
      </x:c>
      <x:c r="J44" s="7" t="str">
        <x:f t="shared" si="0"/>
        <x:v>苏勒台掘坟</x:v>
      </x:c>
      <x:c r="K44" s="7" t="str">
        <x:f t="shared" si="1"/>
        <x:v>APPROVED</x:v>
      </x:c>
      <x:c r="L44" s="4" t="s">
        <x:v>1345</x:v>
      </x:c>
    </x:row>
    <x:row r="45" ht="22.5" customHeight="1">
      <x:c r="A45" s="4" t="s">
        <x:v>9</x:v>
      </x:c>
      <x:c r="B45" s="4" t="s">
        <x:v>1346</x:v>
      </x:c>
      <x:c r="C45" s="4"/>
      <x:c r="D45" s="4" t="s">
        <x:v>1347</x:v>
      </x:c>
      <x:c r="E45" s="4"/>
      <x:c r="F45" s="4" t="s">
        <x:v>1347</x:v>
      </x:c>
      <x:c r="G45" s="5" t="s">
        <x:v>1348</x:v>
      </x:c>
      <x:c r="H45" s="6" t="s">
        <x:v>1349</x:v>
      </x:c>
      <x:c r="I45" s="6" t="s">
        <x:v>1204</x:v>
      </x:c>
      <x:c r="J45" s="7" t="str">
        <x:f t="shared" si="0"/>
        <x:v>艾斯波回手</x:v>
      </x:c>
      <x:c r="K45" s="7" t="str">
        <x:f t="shared" si="1"/>
        <x:v>APPROVED</x:v>
      </x:c>
      <x:c r="L45" s="4" t="s">
        <x:v>1350</x:v>
      </x:c>
    </x:row>
    <x:row r="46" ht="22.5" customHeight="1">
      <x:c r="A46" s="4" t="s">
        <x:v>9</x:v>
      </x:c>
      <x:c r="B46" s="4" t="s">
        <x:v>1351</x:v>
      </x:c>
      <x:c r="C46" s="4"/>
      <x:c r="D46" s="4" t="s">
        <x:v>1352</x:v>
      </x:c>
      <x:c r="E46" s="4"/>
      <x:c r="F46" s="4" t="s">
        <x:v>1352</x:v>
      </x:c>
      <x:c r="G46" s="5" t="s">
        <x:v>1353</x:v>
      </x:c>
      <x:c r="H46" s="6" t="s">
        <x:v>1353</x:v>
      </x:c>
      <x:c r="I46" s="6" t="s">
        <x:v>1204</x:v>
      </x:c>
      <x:c r="J46" s="7" t="str">
        <x:f t="shared" si="0"/>
        <x:v>蓝黑控制</x:v>
      </x:c>
      <x:c r="K46" s="7" t="str">
        <x:f t="shared" si="1"/>
        <x:v>APPROVED</x:v>
      </x:c>
      <x:c r="L46" s="4" t="s">
        <x:v>1354</x:v>
      </x:c>
    </x:row>
    <x:row r="47" ht="22.5" customHeight="1">
      <x:c r="A47" s="4" t="s">
        <x:v>9</x:v>
      </x:c>
      <x:c r="B47" s="4" t="s">
        <x:v>1355</x:v>
      </x:c>
      <x:c r="C47" s="4"/>
      <x:c r="D47" s="4" t="s">
        <x:v>1356</x:v>
      </x:c>
      <x:c r="E47" s="4"/>
      <x:c r="F47" s="4" t="s">
        <x:v>1356</x:v>
      </x:c>
      <x:c r="G47" s="5" t="s">
        <x:v>1357</x:v>
      </x:c>
      <x:c r="H47" s="6" t="s">
        <x:v>1357</x:v>
      </x:c>
      <x:c r="I47" s="6" t="s">
        <x:v>1204</x:v>
      </x:c>
      <x:c r="J47" s="7" t="str">
        <x:f t="shared" si="0"/>
        <x:v>蓝白控制</x:v>
      </x:c>
      <x:c r="K47" s="7" t="str">
        <x:f t="shared" si="1"/>
        <x:v>APPROVED</x:v>
      </x:c>
      <x:c r="L47" s="4" t="s">
        <x:v>1358</x:v>
      </x:c>
    </x:row>
    <x:row r="48" ht="22.5" customHeight="1">
      <x:c r="A48" s="4" t="s">
        <x:v>9</x:v>
      </x:c>
      <x:c r="B48" s="4" t="s">
        <x:v>1359</x:v>
      </x:c>
      <x:c r="C48" s="4"/>
      <x:c r="D48" s="4" t="s">
        <x:v>1360</x:v>
      </x:c>
      <x:c r="E48" s="4"/>
      <x:c r="F48" s="4" t="s">
        <x:v>1360</x:v>
      </x:c>
      <x:c r="G48" s="5" t="s">
        <x:v>1361</x:v>
      </x:c>
      <x:c r="H48" s="6" t="s">
        <x:v>1361</x:v>
      </x:c>
      <x:c r="I48" s="6" t="s">
        <x:v>1204</x:v>
      </x:c>
      <x:c r="J48" s="7" t="str">
        <x:f t="shared" si="0"/>
        <x:v>纯白模模</x:v>
      </x:c>
      <x:c r="K48" s="7" t="str">
        <x:f t="shared" si="1"/>
        <x:v>APPROVED</x:v>
      </x:c>
      <x:c r="L48" s="4" t="s">
        <x:v>1362</x:v>
      </x:c>
    </x:row>
    <x:row r="49" ht="22.5" customHeight="1">
      <x:c r="A49" s="4" t="s">
        <x:v>9</x:v>
      </x:c>
      <x:c r="B49" s="4" t="s">
        <x:v>343</x:v>
      </x:c>
      <x:c r="C49" s="4"/>
      <x:c r="D49" s="4" t="s">
        <x:v>168</x:v>
      </x:c>
      <x:c r="E49" s="4"/>
      <x:c r="F49" s="4" t="s">
        <x:v>168</x:v>
      </x:c>
      <x:c r="G49" s="5" t="s">
        <x:v>1363</x:v>
      </x:c>
      <x:c r="H49" s="6" t="s">
        <x:v>1363</x:v>
      </x:c>
      <x:c r="I49" s="6" t="s">
        <x:v>1204</x:v>
      </x:c>
      <x:c r="J49" s="7" t="str">
        <x:f t="shared" si="0"/>
        <x:v>洁斯凯模模</x:v>
      </x:c>
      <x:c r="K49" s="7" t="str">
        <x:f t="shared" si="1"/>
        <x:v>APPROVED</x:v>
      </x:c>
      <x:c r="L49" s="4" t="s">
        <x:v>344</x:v>
      </x:c>
    </x:row>
    <x:row r="50" ht="22.5" customHeight="1">
      <x:c r="A50" s="4" t="s">
        <x:v>9</x:v>
      </x:c>
      <x:c r="B50" s="4" t="s">
        <x:v>1364</x:v>
      </x:c>
      <x:c r="C50" s="4"/>
      <x:c r="D50" s="4" t="s">
        <x:v>1365</x:v>
      </x:c>
      <x:c r="E50" s="4"/>
      <x:c r="F50" s="4" t="s">
        <x:v>1365</x:v>
      </x:c>
      <x:c r="G50" s="5" t="s">
        <x:v>1366</x:v>
      </x:c>
      <x:c r="H50" s="6" t="s">
        <x:v>1366</x:v>
      </x:c>
      <x:c r="I50" s="6" t="s">
        <x:v>1204</x:v>
      </x:c>
      <x:c r="J50" s="7" t="str">
        <x:f t="shared" si="0"/>
        <x:v>蓝白模模</x:v>
      </x:c>
      <x:c r="K50" s="7" t="str">
        <x:f t="shared" si="1"/>
        <x:v>APPROVED</x:v>
      </x:c>
      <x:c r="L50" s="4" t="s">
        <x:v>1367</x:v>
      </x:c>
    </x:row>
    <x:row r="51" ht="22.5" customHeight="1">
      <x:c r="A51" s="4" t="s">
        <x:v>9</x:v>
      </x:c>
      <x:c r="B51" s="4" t="s">
        <x:v>1368</x:v>
      </x:c>
      <x:c r="C51" s="4"/>
      <x:c r="D51" s="4" t="s">
        <x:v>1369</x:v>
      </x:c>
      <x:c r="E51" s="4"/>
      <x:c r="F51" s="4" t="s">
        <x:v>1369</x:v>
      </x:c>
      <x:c r="G51" s="5" t="s">
        <x:v>1370</x:v>
      </x:c>
      <x:c r="H51" s="6" t="s">
        <x:v>1370</x:v>
      </x:c>
      <x:c r="I51" s="6" t="s">
        <x:v>1204</x:v>
      </x:c>
      <x:c r="J51" s="7" t="str">
        <x:f t="shared" si="0"/>
        <x:v>蓝白水獭</x:v>
      </x:c>
      <x:c r="K51" s="7" t="str">
        <x:f t="shared" si="1"/>
        <x:v>APPROVED</x:v>
      </x:c>
      <x:c r="L51" s="4" t="s">
        <x:v>1371</x:v>
      </x:c>
    </x:row>
    <x:row r="52" ht="22.5" customHeight="1">
      <x:c r="A52" s="4" t="s">
        <x:v>9</x:v>
      </x:c>
      <x:c r="B52" s="4" t="s">
        <x:v>1372</x:v>
      </x:c>
      <x:c r="C52" s="4"/>
      <x:c r="D52" s="4" t="s">
        <x:v>1373</x:v>
      </x:c>
      <x:c r="E52" s="4"/>
      <x:c r="F52" s="4" t="s">
        <x:v>1373</x:v>
      </x:c>
      <x:c r="G52" s="5" t="s">
        <x:v>1374</x:v>
      </x:c>
      <x:c r="H52" s="6" t="s">
        <x:v>1375</x:v>
      </x:c>
      <x:c r="I52" s="6" t="s">
        <x:v>1204</x:v>
      </x:c>
      <x:c r="J52" s="7" t="str">
        <x:f t="shared" si="0"/>
        <x:v>黑绿韵律</x:v>
      </x:c>
      <x:c r="K52" s="7" t="str">
        <x:f t="shared" si="1"/>
        <x:v>APPROVED</x:v>
      </x:c>
      <x:c r="L52" s="4" t="s">
        <x:v>1376</x:v>
      </x:c>
    </x:row>
    <x:row r="53" ht="22.5" customHeight="1">
      <x:c r="A53" s="4" t="s">
        <x:v>9</x:v>
      </x:c>
      <x:c r="B53" s="4" t="s">
        <x:v>1377</x:v>
      </x:c>
      <x:c r="C53" s="4"/>
      <x:c r="D53" s="4" t="s">
        <x:v>1378</x:v>
      </x:c>
      <x:c r="E53" s="4"/>
      <x:c r="F53" s="4" t="s">
        <x:v>1378</x:v>
      </x:c>
      <x:c r="G53" s="5" t="s">
        <x:v>1379</x:v>
      </x:c>
      <x:c r="H53" s="6" t="s">
        <x:v>1379</x:v>
      </x:c>
      <x:c r="I53" s="6" t="s">
        <x:v>1204</x:v>
      </x:c>
      <x:c r="J53" s="7" t="str">
        <x:f t="shared" si="0"/>
        <x:v>黑绿恶魔</x:v>
      </x:c>
      <x:c r="K53" s="7" t="str">
        <x:f t="shared" si="1"/>
        <x:v>APPROVED</x:v>
      </x:c>
      <x:c r="L53" s="4" t="s">
        <x:v>1380</x:v>
      </x:c>
    </x:row>
    <x:row r="54" ht="22.5" customHeight="1">
      <x:c r="A54" s="4" t="s">
        <x:v>9</x:v>
      </x:c>
      <x:c r="B54" s="4" t="s">
        <x:v>1381</x:v>
      </x:c>
      <x:c r="C54" s="4"/>
      <x:c r="D54" s="4" t="s">
        <x:v>1382</x:v>
      </x:c>
      <x:c r="E54" s="4"/>
      <x:c r="F54" s="4" t="s">
        <x:v>1382</x:v>
      </x:c>
      <x:c r="G54" s="5" t="s">
        <x:v>1383</x:v>
      </x:c>
      <x:c r="H54" s="6" t="s">
        <x:v>1383</x:v>
      </x:c>
      <x:c r="I54" s="6" t="s">
        <x:v>1204</x:v>
      </x:c>
      <x:c r="J54" s="7" t="str">
        <x:f t="shared" si="0"/>
        <x:v>苏勒台恶魔</x:v>
      </x:c>
      <x:c r="K54" s="7" t="str">
        <x:f t="shared" si="1"/>
        <x:v>APPROVED</x:v>
      </x:c>
      <x:c r="L54" s="4" t="s">
        <x:v>1384</x:v>
      </x:c>
    </x:row>
    <x:row r="55" ht="22.5" customHeight="1">
      <x:c r="A55" s="4" t="s">
        <x:v>9</x:v>
      </x:c>
      <x:c r="B55" s="4" t="s">
        <x:v>1385</x:v>
      </x:c>
      <x:c r="C55" s="4"/>
      <x:c r="D55" s="4" t="s">
        <x:v>1386</x:v>
      </x:c>
      <x:c r="E55" s="4"/>
      <x:c r="F55" s="4" t="s">
        <x:v>1386</x:v>
      </x:c>
      <x:c r="G55" s="5" t="s">
        <x:v>1387</x:v>
      </x:c>
      <x:c r="H55" s="8" t="s">
        <x:v>1387</x:v>
      </x:c>
      <x:c r="I55" s="6" t="s">
        <x:v>1204</x:v>
      </x:c>
      <x:c r="J55" s="7" t="str">
        <x:f t="shared" si="0"/>
        <x:v>红白烧</x:v>
      </x:c>
      <x:c r="K55" s="7" t="str">
        <x:f t="shared" si="1"/>
        <x:v>APPROVED</x:v>
      </x:c>
      <x:c r="L55" s="4" t="s">
        <x:v>1388</x:v>
      </x:c>
    </x:row>
    <x:row r="56" ht="22.5" customHeight="1">
      <x:c r="A56" s="4" t="s">
        <x:v>9</x:v>
      </x:c>
      <x:c r="B56" s="4" t="s">
        <x:v>1389</x:v>
      </x:c>
      <x:c r="C56" s="4"/>
      <x:c r="D56" s="4" t="s">
        <x:v>1390</x:v>
      </x:c>
      <x:c r="E56" s="4"/>
      <x:c r="F56" s="4" t="s">
        <x:v>1390</x:v>
      </x:c>
      <x:c r="G56" s="5" t="s">
        <x:v>1391</x:v>
      </x:c>
      <x:c r="H56" s="8" t="s">
        <x:v>1392</x:v>
      </x:c>
      <x:c r="I56" s="6" t="s">
        <x:v>1204</x:v>
      </x:c>
      <x:c r="J56" s="7" t="str">
        <x:f t="shared" si="0"/>
        <x:v>蓝绿胡狼</x:v>
      </x:c>
      <x:c r="K56" s="7" t="str">
        <x:f t="shared" si="1"/>
        <x:v>APPROVED</x:v>
      </x:c>
      <x:c r="L56" s="4" t="s">
        <x:v>1393</x:v>
      </x:c>
    </x:row>
    <x:row r="57" ht="22.5" customHeight="1">
      <x:c r="A57" s="4" t="s">
        <x:v>9</x:v>
      </x:c>
      <x:c r="B57" s="4" t="s">
        <x:v>1394</x:v>
      </x:c>
      <x:c r="C57" s="4"/>
      <x:c r="D57" s="4" t="s">
        <x:v>1395</x:v>
      </x:c>
      <x:c r="E57" s="4"/>
      <x:c r="F57" s="4" t="s">
        <x:v>1395</x:v>
      </x:c>
      <x:c r="G57" s="5" t="s">
        <x:v>1396</x:v>
      </x:c>
      <x:c r="H57" s="8" t="s">
        <x:v>1397</x:v>
      </x:c>
      <x:c r="I57" s="6" t="s">
        <x:v>1204</x:v>
      </x:c>
      <x:c r="J57" s="7" t="str">
        <x:f t="shared" si="0"/>
        <x:v>铁木尔战呼人</x:v>
      </x:c>
      <x:c r="K57" s="7" t="str">
        <x:f t="shared" si="1"/>
        <x:v>APPROVED</x:v>
      </x:c>
      <x:c r="L57" s="4" t="s">
        <x:v>1398</x:v>
      </x:c>
    </x:row>
    <x:row r="58" ht="22.5" customHeight="1">
      <x:c r="A58" s="4" t="s">
        <x:v>9</x:v>
      </x:c>
      <x:c r="B58" s="4" t="s">
        <x:v>1399</x:v>
      </x:c>
      <x:c r="C58" s="4"/>
      <x:c r="D58" s="4" t="s">
        <x:v>1400</x:v>
      </x:c>
      <x:c r="E58" s="4"/>
      <x:c r="F58" s="4" t="s">
        <x:v>1400</x:v>
      </x:c>
      <x:c r="G58" s="5" t="s">
        <x:v>1401</x:v>
      </x:c>
      <x:c r="H58" s="6" t="s">
        <x:v>1402</x:v>
      </x:c>
      <x:c r="I58" s="6" t="s">
        <x:v>1204</x:v>
      </x:c>
      <x:c r="J58" s="7" t="str">
        <x:f t="shared" si="0"/>
        <x:v>红蓝滤牌</x:v>
      </x:c>
      <x:c r="K58" s="7" t="str">
        <x:f t="shared" si="1"/>
        <x:v>APPROVED</x:v>
      </x:c>
      <x:c r="L58" s="4" t="s">
        <x:v>1403</x:v>
      </x:c>
    </x:row>
    <x:row r="59" ht="22.5" customHeight="1">
      <x:c r="A59" s="4" t="s">
        <x:v>9</x:v>
      </x:c>
      <x:c r="B59" s="4" t="s">
        <x:v>1404</x:v>
      </x:c>
      <x:c r="C59" s="4"/>
      <x:c r="D59" s="4" t="s">
        <x:v>1405</x:v>
      </x:c>
      <x:c r="E59" s="4"/>
      <x:c r="F59" s="4" t="s">
        <x:v>1405</x:v>
      </x:c>
      <x:c r="G59" s="5" t="s">
        <x:v>1406</x:v>
      </x:c>
      <x:c r="H59" s="8" t="s">
        <x:v>1406</x:v>
      </x:c>
      <x:c r="I59" s="6" t="s">
        <x:v>1204</x:v>
      </x:c>
      <x:c r="J59" s="7" t="str">
        <x:f t="shared" si="0"/>
        <x:v>洁斯凯神器</x:v>
      </x:c>
      <x:c r="K59" s="7" t="str">
        <x:f t="shared" si="1"/>
        <x:v>APPROVED</x:v>
      </x:c>
      <x:c r="L59" s="4" t="s">
        <x:v>1407</x:v>
      </x:c>
    </x:row>
    <x:row r="60" ht="22.5" customHeight="1">
      <x:c r="A60" s="9" t="s">
        <x:v>9</x:v>
      </x:c>
      <x:c r="B60" s="9" t="s">
        <x:v>1408</x:v>
      </x:c>
      <x:c r="C60" s="9"/>
      <x:c r="D60" s="9" t="s">
        <x:v>1409</x:v>
      </x:c>
      <x:c r="E60" s="9"/>
      <x:c r="F60" s="9" t="s">
        <x:v>1409</x:v>
      </x:c>
      <x:c r="G60" s="10" t="s">
        <x:v>1410</x:v>
      </x:c>
      <x:c r="H60" s="14" t="s">
        <x:v>1410</x:v>
      </x:c>
      <x:c r="I60" s="11" t="s">
        <x:v>1204</x:v>
      </x:c>
      <x:c r="J60" s="12" t="str">
        <x:f t="shared" si="0"/>
        <x:v>地脉快攻</x:v>
      </x:c>
      <x:c r="K60" s="12" t="str">
        <x:f t="shared" si="1"/>
        <x:v>APPROVED</x:v>
      </x:c>
      <x:c r="L60" s="13" t="s">
        <x:v>1411</x:v>
      </x:c>
    </x:row>
    <x:row r="61" ht="22.5" customHeight="1">
      <x:c r="A61" s="4" t="s">
        <x:v>9</x:v>
      </x:c>
      <x:c r="B61" s="4" t="s">
        <x:v>1408</x:v>
      </x:c>
      <x:c r="C61" s="4" t="s">
        <x:v>1221</x:v>
      </x:c>
      <x:c r="D61" s="4" t="s">
        <x:v>1409</x:v>
      </x:c>
      <x:c r="E61" s="4" t="s">
        <x:v>1222</x:v>
      </x:c>
      <x:c r="F61" s="4" t="s">
        <x:v>1412</x:v>
      </x:c>
      <x:c r="G61" s="5" t="s">
        <x:v>1413</x:v>
      </x:c>
      <x:c r="H61" s="8" t="s">
        <x:v>1414</x:v>
      </x:c>
      <x:c r="I61" s="6" t="s">
        <x:v>1204</x:v>
      </x:c>
      <x:c r="J61" s="7" t="str">
        <x:f t="shared" si="0"/>
        <x:v>地脉红蓝</x:v>
      </x:c>
      <x:c r="K61" s="7" t="str">
        <x:f t="shared" si="1"/>
        <x:v>APPROVED</x:v>
      </x:c>
      <x:c r="L61" s="4" t="s">
        <x:v>1415</x:v>
      </x:c>
    </x:row>
    <x:row r="62" ht="22.5" customHeight="1">
      <x:c r="A62" s="4" t="s">
        <x:v>9</x:v>
      </x:c>
      <x:c r="B62" s="4" t="s">
        <x:v>1408</x:v>
      </x:c>
      <x:c r="C62" s="4" t="s">
        <x:v>1416</x:v>
      </x:c>
      <x:c r="D62" s="4" t="s">
        <x:v>1409</x:v>
      </x:c>
      <x:c r="E62" s="4" t="s">
        <x:v>1417</x:v>
      </x:c>
      <x:c r="F62" s="4" t="s">
        <x:v>1418</x:v>
      </x:c>
      <x:c r="G62" s="5" t="s">
        <x:v>1419</x:v>
      </x:c>
      <x:c r="H62" s="8" t="s">
        <x:v>1420</x:v>
      </x:c>
      <x:c r="I62" s="6" t="s">
        <x:v>1204</x:v>
      </x:c>
      <x:c r="J62" s="7" t="str">
        <x:f t="shared" si="0"/>
        <x:v>地脉红绿</x:v>
      </x:c>
      <x:c r="K62" s="7" t="str">
        <x:f t="shared" si="1"/>
        <x:v>APPROVED</x:v>
      </x:c>
      <x:c r="L62" s="4" t="s">
        <x:v>1421</x:v>
      </x:c>
    </x:row>
    <x:row r="63" ht="22.5" customHeight="1">
      <x:c r="A63" s="4" t="s">
        <x:v>9</x:v>
      </x:c>
      <x:c r="B63" s="4" t="s">
        <x:v>1408</x:v>
      </x:c>
      <x:c r="C63" s="4" t="s">
        <x:v>1227</x:v>
      </x:c>
      <x:c r="D63" s="4" t="s">
        <x:v>1409</x:v>
      </x:c>
      <x:c r="E63" s="4" t="s">
        <x:v>1228</x:v>
      </x:c>
      <x:c r="F63" s="4" t="s">
        <x:v>1422</x:v>
      </x:c>
      <x:c r="G63" s="5" t="s">
        <x:v>1423</x:v>
      </x:c>
      <x:c r="H63" s="8" t="s">
        <x:v>1424</x:v>
      </x:c>
      <x:c r="I63" s="6" t="s">
        <x:v>1204</x:v>
      </x:c>
      <x:c r="J63" s="7" t="str">
        <x:f t="shared" si="0"/>
        <x:v>地脉红白</x:v>
      </x:c>
      <x:c r="K63" s="7" t="str">
        <x:f t="shared" si="1"/>
        <x:v>APPROVED</x:v>
      </x:c>
      <x:c r="L63" s="4" t="s">
        <x:v>1425</x:v>
      </x:c>
    </x:row>
    <x:row r="64" ht="22.5" customHeight="1">
      <x:c r="A64" s="4" t="s">
        <x:v>9</x:v>
      </x:c>
      <x:c r="B64" s="4" t="s">
        <x:v>1408</x:v>
      </x:c>
      <x:c r="C64" s="4" t="s">
        <x:v>1426</x:v>
      </x:c>
      <x:c r="D64" s="4" t="s">
        <x:v>1409</x:v>
      </x:c>
      <x:c r="E64" s="4" t="s">
        <x:v>1427</x:v>
      </x:c>
      <x:c r="F64" s="4" t="s">
        <x:v>1428</x:v>
      </x:c>
      <x:c r="G64" s="5" t="s">
        <x:v>1429</x:v>
      </x:c>
      <x:c r="H64" s="8" t="s">
        <x:v>1430</x:v>
      </x:c>
      <x:c r="I64" s="6" t="s">
        <x:v>1204</x:v>
      </x:c>
      <x:c r="J64" s="7" t="str">
        <x:f t="shared" si="0"/>
        <x:v>地脉红黑</x:v>
      </x:c>
      <x:c r="K64" s="7" t="str">
        <x:f t="shared" si="1"/>
        <x:v>APPROVED</x:v>
      </x:c>
      <x:c r="L64" s="4" t="s">
        <x:v>1431</x:v>
      </x:c>
    </x:row>
    <x:row r="65" ht="22.5" customHeight="1">
      <x:c r="A65" s="4" t="s">
        <x:v>9</x:v>
      </x:c>
      <x:c r="B65" s="4" t="s">
        <x:v>1408</x:v>
      </x:c>
      <x:c r="C65" s="4" t="s">
        <x:v>1432</x:v>
      </x:c>
      <x:c r="D65" s="4" t="s">
        <x:v>1409</x:v>
      </x:c>
      <x:c r="E65" s="4" t="s">
        <x:v>1433</x:v>
      </x:c>
      <x:c r="F65" s="4" t="s">
        <x:v>1434</x:v>
      </x:c>
      <x:c r="G65" s="5" t="s">
        <x:v>1435</x:v>
      </x:c>
      <x:c r="H65" s="6" t="s">
        <x:v>1436</x:v>
      </x:c>
      <x:c r="I65" s="6" t="s">
        <x:v>1204</x:v>
      </x:c>
      <x:c r="J65" s="7" t="str">
        <x:f t="shared" si="0"/>
        <x:v>地脉纯红</x:v>
      </x:c>
      <x:c r="K65" s="7" t="str">
        <x:f t="shared" si="1"/>
        <x:v>APPROVED</x:v>
      </x:c>
      <x:c r="L65" s="4" t="s">
        <x:v>1437</x:v>
      </x:c>
    </x:row>
    <x:row r="66" ht="22.5" customHeight="1">
      <x:c r="A66" s="4" t="s">
        <x:v>9</x:v>
      </x:c>
      <x:c r="B66" s="4" t="s">
        <x:v>1438</x:v>
      </x:c>
      <x:c r="C66" s="4"/>
      <x:c r="D66" s="4" t="s">
        <x:v>1439</x:v>
      </x:c>
      <x:c r="E66" s="4"/>
      <x:c r="F66" s="4" t="s">
        <x:v>1439</x:v>
      </x:c>
      <x:c r="G66" s="5" t="s">
        <x:v>1440</x:v>
      </x:c>
      <x:c r="H66" s="8" t="s">
        <x:v>1441</x:v>
      </x:c>
      <x:c r="I66" s="6" t="s">
        <x:v>1204</x:v>
      </x:c>
      <x:c r="J66" s="7" t="str">
        <x:f t="shared" si="0"/>
        <x:v>伙伴部族</x:v>
      </x:c>
      <x:c r="K66" s="7" t="str">
        <x:f t="shared" si="1"/>
        <x:v>APPROVED</x:v>
      </x:c>
      <x:c r="L66" s="4" t="s">
        <x:v>1442</x:v>
      </x:c>
    </x:row>
    <x:row r="67" ht="22.5" customHeight="1">
      <x:c r="A67" s="4" t="s">
        <x:v>9</x:v>
      </x:c>
      <x:c r="B67" s="4" t="s">
        <x:v>1443</x:v>
      </x:c>
      <x:c r="C67" s="4"/>
      <x:c r="D67" s="4" t="s">
        <x:v>1444</x:v>
      </x:c>
      <x:c r="E67" s="4"/>
      <x:c r="F67" s="4" t="s">
        <x:v>1444</x:v>
      </x:c>
      <x:c r="G67" s="5" t="s">
        <x:v>1445</x:v>
      </x:c>
      <x:c r="H67" s="8" t="s">
        <x:v>1445</x:v>
      </x:c>
      <x:c r="I67" s="6" t="s">
        <x:v>1204</x:v>
      </x:c>
      <x:c r="J67" s="7" t="str">
        <x:f t="shared" si="0"/>
        <x:v>铁木尔水獭</x:v>
      </x:c>
      <x:c r="K67" s="7" t="str">
        <x:f t="shared" si="1"/>
        <x:v>APPROVED</x:v>
      </x:c>
      <x:c r="L67" s="4" t="s">
        <x:v>1446</x:v>
      </x:c>
    </x:row>
    <x:row r="68" ht="22.5" customHeight="1">
      <x:c r="A68" s="4" t="s">
        <x:v>9</x:v>
      </x:c>
      <x:c r="B68" s="4" t="s">
        <x:v>1447</x:v>
      </x:c>
      <x:c r="C68" s="4"/>
      <x:c r="D68" s="4" t="s">
        <x:v>1448</x:v>
      </x:c>
      <x:c r="E68" s="4"/>
      <x:c r="F68" s="4" t="s">
        <x:v>1448</x:v>
      </x:c>
      <x:c r="G68" s="5" t="s">
        <x:v>1449</x:v>
      </x:c>
      <x:c r="H68" s="6" t="s">
        <x:v>1449</x:v>
      </x:c>
      <x:c r="I68" s="6" t="s">
        <x:v>1204</x:v>
      </x:c>
      <x:c r="J68" s="7" t="str">
        <x:f t="shared" si="0"/>
        <x:v>纯黑恶魔</x:v>
      </x:c>
      <x:c r="K68" s="7" t="str">
        <x:f t="shared" si="1"/>
        <x:v>APPROVED</x:v>
      </x:c>
      <x:c r="L68" s="4" t="s">
        <x:v>1450</x:v>
      </x:c>
    </x:row>
    <x:row r="69" ht="22.5" customHeight="1">
      <x:c r="A69" s="4" t="s">
        <x:v>9</x:v>
      </x:c>
      <x:c r="B69" s="4" t="s">
        <x:v>1451</x:v>
      </x:c>
      <x:c r="C69" s="4"/>
      <x:c r="D69" s="4" t="s">
        <x:v>1452</x:v>
      </x:c>
      <x:c r="E69" s="4"/>
      <x:c r="F69" s="4" t="s">
        <x:v>1452</x:v>
      </x:c>
      <x:c r="G69" s="5" t="s">
        <x:v>1453</x:v>
      </x:c>
      <x:c r="H69" s="6" t="s">
        <x:v>1454</x:v>
      </x:c>
      <x:c r="I69" s="6" t="s">
        <x:v>1204</x:v>
      </x:c>
      <x:c r="J69" s="7" t="str">
        <x:f t="shared" ref="J69:J132" si="2">IF(H69&lt;&gt;"",H69,G69)</x:f>
        <x:v>白绿猛袭</x:v>
      </x:c>
      <x:c r="K69" s="7" t="str">
        <x:f t="shared" ref="K69:K132" si="3">IF(I69="APPROVED","APPROVED",IF(I69="REVISE","REVISION REQUESTED","NEEDS OWNER REVIEW"))</x:f>
        <x:v>APPROVED</x:v>
      </x:c>
      <x:c r="L69" s="4" t="s">
        <x:v>1455</x:v>
      </x:c>
    </x:row>
    <x:row r="70" ht="22.5" customHeight="1">
      <x:c r="A70" s="4" t="s">
        <x:v>9</x:v>
      </x:c>
      <x:c r="B70" s="4" t="s">
        <x:v>1456</x:v>
      </x:c>
      <x:c r="C70" s="4"/>
      <x:c r="D70" s="4" t="s">
        <x:v>562</x:v>
      </x:c>
      <x:c r="E70" s="4"/>
      <x:c r="F70" s="4" t="s">
        <x:v>562</x:v>
      </x:c>
      <x:c r="G70" s="5" t="s">
        <x:v>1457</x:v>
      </x:c>
      <x:c r="H70" s="6" t="s">
        <x:v>1458</x:v>
      </x:c>
      <x:c r="I70" s="6" t="s">
        <x:v>1204</x:v>
      </x:c>
      <x:c r="J70" s="7" t="str">
        <x:f t="shared" si="2"/>
        <x:v>红蓝快攻</x:v>
      </x:c>
      <x:c r="K70" s="7" t="str">
        <x:f t="shared" si="3"/>
        <x:v>APPROVED</x:v>
      </x:c>
      <x:c r="L70" s="4" t="s">
        <x:v>1459</x:v>
      </x:c>
    </x:row>
    <x:row r="71" ht="22.5" customHeight="1">
      <x:c r="A71" s="4" t="s">
        <x:v>9</x:v>
      </x:c>
      <x:c r="B71" s="4" t="s">
        <x:v>1460</x:v>
      </x:c>
      <x:c r="C71" s="4"/>
      <x:c r="D71" s="4" t="s">
        <x:v>1461</x:v>
      </x:c>
      <x:c r="E71" s="4"/>
      <x:c r="F71" s="4" t="s">
        <x:v>1461</x:v>
      </x:c>
      <x:c r="G71" s="5" t="s">
        <x:v>1462</x:v>
      </x:c>
      <x:c r="H71" s="8" t="s">
        <x:v>1462</x:v>
      </x:c>
      <x:c r="I71" s="6" t="s">
        <x:v>1204</x:v>
      </x:c>
      <x:c r="J71" s="7" t="str">
        <x:f t="shared" si="2"/>
        <x:v>红绿躁狂</x:v>
      </x:c>
      <x:c r="K71" s="7" t="str">
        <x:f t="shared" si="3"/>
        <x:v>APPROVED</x:v>
      </x:c>
      <x:c r="L71" s="4" t="s">
        <x:v>1463</x:v>
      </x:c>
    </x:row>
    <x:row r="72" ht="22.5" customHeight="1">
      <x:c r="A72" s="4" t="s">
        <x:v>9</x:v>
      </x:c>
      <x:c r="B72" s="4" t="s">
        <x:v>1464</x:v>
      </x:c>
      <x:c r="C72" s="4"/>
      <x:c r="D72" s="4" t="s">
        <x:v>1465</x:v>
      </x:c>
      <x:c r="E72" s="4"/>
      <x:c r="F72" s="4" t="s">
        <x:v>1465</x:v>
      </x:c>
      <x:c r="G72" s="5" t="s">
        <x:v>1466</x:v>
      </x:c>
      <x:c r="H72" s="8" t="s">
        <x:v>1466</x:v>
      </x:c>
      <x:c r="I72" s="6" t="s">
        <x:v>1204</x:v>
      </x:c>
      <x:c r="J72" s="7" t="str">
        <x:f t="shared" si="2"/>
        <x:v>班特回手</x:v>
      </x:c>
      <x:c r="K72" s="7" t="str">
        <x:f t="shared" si="3"/>
        <x:v>APPROVED</x:v>
      </x:c>
      <x:c r="L72" s="4" t="s">
        <x:v>1467</x:v>
      </x:c>
    </x:row>
    <x:row r="73" ht="22.5" customHeight="1">
      <x:c r="A73" s="4" t="s">
        <x:v>9</x:v>
      </x:c>
      <x:c r="B73" s="4" t="s">
        <x:v>1468</x:v>
      </x:c>
      <x:c r="C73" s="4"/>
      <x:c r="D73" s="4" t="s">
        <x:v>1469</x:v>
      </x:c>
      <x:c r="E73" s="4"/>
      <x:c r="F73" s="4" t="s">
        <x:v>1469</x:v>
      </x:c>
      <x:c r="G73" s="5" t="s">
        <x:v>1470</x:v>
      </x:c>
      <x:c r="H73" s="8" t="s">
        <x:v>1471</x:v>
      </x:c>
      <x:c r="I73" s="6" t="s">
        <x:v>1204</x:v>
      </x:c>
      <x:c r="J73" s="7" t="str">
        <x:f t="shared" si="2"/>
        <x:v>蓝黑欺瞒</x:v>
      </x:c>
      <x:c r="K73" s="7" t="str">
        <x:f t="shared" si="3"/>
        <x:v>APPROVED</x:v>
      </x:c>
      <x:c r="L73" s="4" t="s">
        <x:v>1472</x:v>
      </x:c>
    </x:row>
    <x:row r="74" ht="22.5" customHeight="1">
      <x:c r="A74" s="4" t="s">
        <x:v>9</x:v>
      </x:c>
      <x:c r="B74" s="4" t="s">
        <x:v>1473</x:v>
      </x:c>
      <x:c r="C74" s="4"/>
      <x:c r="D74" s="4" t="s">
        <x:v>1474</x:v>
      </x:c>
      <x:c r="E74" s="4"/>
      <x:c r="F74" s="4" t="s">
        <x:v>1474</x:v>
      </x:c>
      <x:c r="G74" s="5" t="s">
        <x:v>1475</x:v>
      </x:c>
      <x:c r="H74" s="8" t="s">
        <x:v>1476</x:v>
      </x:c>
      <x:c r="I74" s="6" t="s">
        <x:v>1204</x:v>
      </x:c>
      <x:c r="J74" s="7" t="str">
        <x:f t="shared" si="2"/>
        <x:v>红蓝炫示</x:v>
      </x:c>
      <x:c r="K74" s="7" t="str">
        <x:f t="shared" si="3"/>
        <x:v>APPROVED</x:v>
      </x:c>
      <x:c r="L74" s="4" t="s">
        <x:v>1477</x:v>
      </x:c>
    </x:row>
    <x:row r="75" ht="22.5" customHeight="1">
      <x:c r="A75" s="9" t="s">
        <x:v>9</x:v>
      </x:c>
      <x:c r="B75" s="9" t="s">
        <x:v>1478</x:v>
      </x:c>
      <x:c r="C75" s="9"/>
      <x:c r="D75" s="9" t="s">
        <x:v>1479</x:v>
      </x:c>
      <x:c r="E75" s="9"/>
      <x:c r="F75" s="9" t="s">
        <x:v>1479</x:v>
      </x:c>
      <x:c r="G75" s="10" t="s">
        <x:v>1480</x:v>
      </x:c>
      <x:c r="H75" s="14" t="s">
        <x:v>1480</x:v>
      </x:c>
      <x:c r="I75" s="11" t="s">
        <x:v>1204</x:v>
      </x:c>
      <x:c r="J75" s="12" t="str">
        <x:f t="shared" si="2"/>
        <x:v>红白武器</x:v>
      </x:c>
      <x:c r="K75" s="12" t="str">
        <x:f t="shared" si="3"/>
        <x:v>APPROVED</x:v>
      </x:c>
      <x:c r="L75" s="13" t="s">
        <x:v>1481</x:v>
      </x:c>
    </x:row>
    <x:row r="76" ht="22.5" customHeight="1">
      <x:c r="A76" s="4" t="s">
        <x:v>9</x:v>
      </x:c>
      <x:c r="B76" s="4" t="s">
        <x:v>1478</x:v>
      </x:c>
      <x:c r="C76" s="4" t="s">
        <x:v>1482</x:v>
      </x:c>
      <x:c r="D76" s="4" t="s">
        <x:v>1479</x:v>
      </x:c>
      <x:c r="E76" s="4" t="s">
        <x:v>1483</x:v>
      </x:c>
      <x:c r="F76" s="4" t="s">
        <x:v>1484</x:v>
      </x:c>
      <x:c r="G76" s="5" t="s">
        <x:v>1485</x:v>
      </x:c>
      <x:c r="H76" s="6" t="s">
        <x:v>1486</x:v>
      </x:c>
      <x:c r="I76" s="6" t="s">
        <x:v>1204</x:v>
      </x:c>
      <x:c r="J76" s="7" t="str">
        <x:f t="shared" si="2"/>
        <x:v>洁斯凯武器</x:v>
      </x:c>
      <x:c r="K76" s="7" t="str">
        <x:f t="shared" si="3"/>
        <x:v>APPROVED</x:v>
      </x:c>
      <x:c r="L76" s="4" t="s">
        <x:v>1487</x:v>
      </x:c>
    </x:row>
    <x:row r="77" ht="22.5" customHeight="1">
      <x:c r="A77" s="4" t="s">
        <x:v>9</x:v>
      </x:c>
      <x:c r="B77" s="4" t="s">
        <x:v>1478</x:v>
      </x:c>
      <x:c r="C77" s="4" t="s">
        <x:v>1488</x:v>
      </x:c>
      <x:c r="D77" s="4" t="s">
        <x:v>1479</x:v>
      </x:c>
      <x:c r="E77" s="4" t="s">
        <x:v>1489</x:v>
      </x:c>
      <x:c r="F77" s="4" t="s">
        <x:v>1490</x:v>
      </x:c>
      <x:c r="G77" s="5" t="s">
        <x:v>1491</x:v>
      </x:c>
      <x:c r="H77" s="6" t="s">
        <x:v>1492</x:v>
      </x:c>
      <x:c r="I77" s="6" t="s">
        <x:v>1204</x:v>
      </x:c>
      <x:c r="J77" s="7" t="str">
        <x:f t="shared" si="2"/>
        <x:v>玛尔都武器</x:v>
      </x:c>
      <x:c r="K77" s="7" t="str">
        <x:f t="shared" si="3"/>
        <x:v>APPROVED</x:v>
      </x:c>
      <x:c r="L77" s="4" t="s">
        <x:v>1493</x:v>
      </x:c>
    </x:row>
    <x:row r="78" ht="22.5" customHeight="1">
      <x:c r="A78" s="4" t="s">
        <x:v>9</x:v>
      </x:c>
      <x:c r="B78" s="4" t="s">
        <x:v>1478</x:v>
      </x:c>
      <x:c r="C78" s="4" t="s">
        <x:v>1227</x:v>
      </x:c>
      <x:c r="D78" s="4" t="s">
        <x:v>1479</x:v>
      </x:c>
      <x:c r="E78" s="4" t="s">
        <x:v>1228</x:v>
      </x:c>
      <x:c r="F78" s="4" t="s">
        <x:v>1479</x:v>
      </x:c>
      <x:c r="G78" s="5" t="s">
        <x:v>1494</x:v>
      </x:c>
      <x:c r="H78" s="8" t="s">
        <x:v>1480</x:v>
      </x:c>
      <x:c r="I78" s="6" t="s">
        <x:v>1204</x:v>
      </x:c>
      <x:c r="J78" s="7" t="str">
        <x:f t="shared" si="2"/>
        <x:v>红白武器</x:v>
      </x:c>
      <x:c r="K78" s="7" t="str">
        <x:f t="shared" si="3"/>
        <x:v>APPROVED</x:v>
      </x:c>
      <x:c r="L78" s="4" t="s">
        <x:v>1495</x:v>
      </x:c>
    </x:row>
    <x:row r="79" ht="22.5" customHeight="1">
      <x:c r="A79" s="4" t="s">
        <x:v>9</x:v>
      </x:c>
      <x:c r="B79" s="4" t="s">
        <x:v>1496</x:v>
      </x:c>
      <x:c r="C79" s="4"/>
      <x:c r="D79" s="4" t="s">
        <x:v>1497</x:v>
      </x:c>
      <x:c r="E79" s="4"/>
      <x:c r="F79" s="4" t="s">
        <x:v>1497</x:v>
      </x:c>
      <x:c r="G79" s="5" t="s">
        <x:v>1498</x:v>
      </x:c>
      <x:c r="H79" s="6" t="s">
        <x:v>1498</x:v>
      </x:c>
      <x:c r="I79" s="6" t="s">
        <x:v>1204</x:v>
      </x:c>
      <x:c r="J79" s="7" t="str">
        <x:f t="shared" si="2"/>
        <x:v>黑绿掘坟</x:v>
      </x:c>
      <x:c r="K79" s="7" t="str">
        <x:f t="shared" si="3"/>
        <x:v>APPROVED</x:v>
      </x:c>
      <x:c r="L79" s="4" t="s">
        <x:v>1499</x:v>
      </x:c>
    </x:row>
    <x:row r="80" ht="22.5" customHeight="1">
      <x:c r="A80" s="4" t="s">
        <x:v>9</x:v>
      </x:c>
      <x:c r="B80" s="4" t="s">
        <x:v>1500</x:v>
      </x:c>
      <x:c r="C80" s="4"/>
      <x:c r="D80" s="4" t="s">
        <x:v>1501</x:v>
      </x:c>
      <x:c r="E80" s="4"/>
      <x:c r="F80" s="4" t="s">
        <x:v>1501</x:v>
      </x:c>
      <x:c r="G80" s="5" t="s">
        <x:v>1502</x:v>
      </x:c>
      <x:c r="H80" s="8" t="s">
        <x:v>1502</x:v>
      </x:c>
      <x:c r="I80" s="6" t="s">
        <x:v>1204</x:v>
      </x:c>
      <x:c r="J80" s="7" t="str">
        <x:f t="shared" si="2"/>
        <x:v>苏勒台控制</x:v>
      </x:c>
      <x:c r="K80" s="7" t="str">
        <x:f t="shared" si="3"/>
        <x:v>APPROVED</x:v>
      </x:c>
      <x:c r="L80" s="4" t="s">
        <x:v>1503</x:v>
      </x:c>
    </x:row>
    <x:row r="81" ht="22.5" customHeight="1">
      <x:c r="A81" s="4" t="s">
        <x:v>9</x:v>
      </x:c>
      <x:c r="B81" s="4" t="s">
        <x:v>1504</x:v>
      </x:c>
      <x:c r="C81" s="4"/>
      <x:c r="D81" s="4" t="s">
        <x:v>1505</x:v>
      </x:c>
      <x:c r="E81" s="4"/>
      <x:c r="F81" s="4" t="s">
        <x:v>1505</x:v>
      </x:c>
      <x:c r="G81" s="5" t="s">
        <x:v>1506</x:v>
      </x:c>
      <x:c r="H81" s="8" t="s">
        <x:v>1507</x:v>
      </x:c>
      <x:c r="I81" s="6" t="s">
        <x:v>1204</x:v>
      </x:c>
      <x:c r="J81" s="7" t="str">
        <x:f t="shared" si="2"/>
        <x:v>黑白连辞</x:v>
      </x:c>
      <x:c r="K81" s="7" t="str">
        <x:f t="shared" si="3"/>
        <x:v>APPROVED</x:v>
      </x:c>
      <x:c r="L81" s="4" t="s">
        <x:v>1508</x:v>
      </x:c>
    </x:row>
    <x:row r="82" ht="22.5" customHeight="1">
      <x:c r="A82" s="4" t="s">
        <x:v>9</x:v>
      </x:c>
      <x:c r="B82" s="4" t="s">
        <x:v>1509</x:v>
      </x:c>
      <x:c r="C82" s="4"/>
      <x:c r="D82" s="4" t="s">
        <x:v>1510</x:v>
      </x:c>
      <x:c r="E82" s="4"/>
      <x:c r="F82" s="4" t="s">
        <x:v>1510</x:v>
      </x:c>
      <x:c r="G82" s="5" t="s">
        <x:v>1511</x:v>
      </x:c>
      <x:c r="H82" s="6" t="s">
        <x:v>1511</x:v>
      </x:c>
      <x:c r="I82" s="6" t="s">
        <x:v>1204</x:v>
      </x:c>
      <x:c r="J82" s="7" t="str">
        <x:f t="shared" si="2"/>
        <x:v>纯黑快攻</x:v>
      </x:c>
      <x:c r="K82" s="7" t="str">
        <x:f t="shared" si="3"/>
        <x:v>APPROVED</x:v>
      </x:c>
      <x:c r="L82" s="4" t="s">
        <x:v>1512</x:v>
      </x:c>
    </x:row>
    <x:row r="83" ht="22.5" customHeight="1">
      <x:c r="A83" s="4" t="s">
        <x:v>9</x:v>
      </x:c>
      <x:c r="B83" s="4" t="s">
        <x:v>1513</x:v>
      </x:c>
      <x:c r="C83" s="4"/>
      <x:c r="D83" s="4" t="s">
        <x:v>1514</x:v>
      </x:c>
      <x:c r="E83" s="4"/>
      <x:c r="F83" s="4" t="s">
        <x:v>1514</x:v>
      </x:c>
      <x:c r="G83" s="5" t="s">
        <x:v>1515</x:v>
      </x:c>
      <x:c r="H83" s="8" t="s">
        <x:v>1516</x:v>
      </x:c>
      <x:c r="I83" s="6" t="s">
        <x:v>1204</x:v>
      </x:c>
      <x:c r="J83" s="7" t="str">
        <x:f t="shared" si="2"/>
        <x:v>黑绿犯罪</x:v>
      </x:c>
      <x:c r="K83" s="7" t="str">
        <x:f t="shared" si="3"/>
        <x:v>APPROVED</x:v>
      </x:c>
      <x:c r="L83" s="4" t="s">
        <x:v>1517</x:v>
      </x:c>
    </x:row>
    <x:row r="84" ht="22.5" customHeight="1">
      <x:c r="A84" s="4" t="s">
        <x:v>9</x:v>
      </x:c>
      <x:c r="B84" s="4" t="s">
        <x:v>1518</x:v>
      </x:c>
      <x:c r="C84" s="4"/>
      <x:c r="D84" s="4" t="s">
        <x:v>1519</x:v>
      </x:c>
      <x:c r="E84" s="4"/>
      <x:c r="F84" s="4" t="s">
        <x:v>1519</x:v>
      </x:c>
      <x:c r="G84" s="5" t="s">
        <x:v>1520</x:v>
      </x:c>
      <x:c r="H84" s="6" t="s">
        <x:v>1521</x:v>
      </x:c>
      <x:c r="I84" s="6" t="s">
        <x:v>1204</x:v>
      </x:c>
      <x:c r="J84" s="7" t="str">
        <x:f t="shared" si="2"/>
        <x:v>黑绿繁根</x:v>
      </x:c>
      <x:c r="K84" s="7" t="str">
        <x:f t="shared" si="3"/>
        <x:v>APPROVED</x:v>
      </x:c>
      <x:c r="L84" s="4" t="s">
        <x:v>1522</x:v>
      </x:c>
    </x:row>
    <x:row r="85" ht="22.5" customHeight="1">
      <x:c r="A85" s="4" t="s">
        <x:v>9</x:v>
      </x:c>
      <x:c r="B85" s="4" t="s">
        <x:v>1523</x:v>
      </x:c>
      <x:c r="C85" s="4"/>
      <x:c r="D85" s="4" t="s">
        <x:v>1524</x:v>
      </x:c>
      <x:c r="E85" s="4"/>
      <x:c r="F85" s="4" t="s">
        <x:v>1524</x:v>
      </x:c>
      <x:c r="G85" s="5" t="s">
        <x:v>1525</x:v>
      </x:c>
      <x:c r="H85" s="6" t="s">
        <x:v>1525</x:v>
      </x:c>
      <x:c r="I85" s="6" t="s">
        <x:v>1204</x:v>
      </x:c>
      <x:c r="J85" s="7" t="str">
        <x:f t="shared" si="2"/>
        <x:v>黑白控制</x:v>
      </x:c>
      <x:c r="K85" s="7" t="str">
        <x:f t="shared" si="3"/>
        <x:v>APPROVED</x:v>
      </x:c>
      <x:c r="L85" s="4" t="s">
        <x:v>1526</x:v>
      </x:c>
    </x:row>
    <x:row r="86" ht="22.5" customHeight="1">
      <x:c r="A86" s="4" t="s">
        <x:v>9</x:v>
      </x:c>
      <x:c r="B86" s="4" t="s">
        <x:v>1527</x:v>
      </x:c>
      <x:c r="C86" s="4"/>
      <x:c r="D86" s="4" t="s">
        <x:v>1528</x:v>
      </x:c>
      <x:c r="E86" s="4"/>
      <x:c r="F86" s="4" t="s">
        <x:v>1528</x:v>
      </x:c>
      <x:c r="G86" s="5" t="s">
        <x:v>1529</x:v>
      </x:c>
      <x:c r="H86" s="6" t="s">
        <x:v>1530</x:v>
      </x:c>
      <x:c r="I86" s="6" t="s">
        <x:v>1204</x:v>
      </x:c>
      <x:c r="J86" s="7" t="str">
        <x:f t="shared" si="2"/>
        <x:v>蓝绿Ramp</x:v>
      </x:c>
      <x:c r="K86" s="7" t="str">
        <x:f t="shared" si="3"/>
        <x:v>APPROVED</x:v>
      </x:c>
      <x:c r="L86" s="4" t="s">
        <x:v>1531</x:v>
      </x:c>
    </x:row>
    <x:row r="87" ht="22.5" customHeight="1">
      <x:c r="A87" s="4" t="s">
        <x:v>9</x:v>
      </x:c>
      <x:c r="B87" s="4" t="s">
        <x:v>1532</x:v>
      </x:c>
      <x:c r="C87" s="4"/>
      <x:c r="D87" s="4" t="s">
        <x:v>1533</x:v>
      </x:c>
      <x:c r="E87" s="4"/>
      <x:c r="F87" s="4" t="s">
        <x:v>1533</x:v>
      </x:c>
      <x:c r="G87" s="5" t="s">
        <x:v>1534</x:v>
      </x:c>
      <x:c r="H87" s="8" t="s">
        <x:v>1534</x:v>
      </x:c>
      <x:c r="I87" s="6" t="s">
        <x:v>1204</x:v>
      </x:c>
      <x:c r="J87" s="7" t="str">
        <x:f t="shared" si="2"/>
        <x:v>纯绿快攻</x:v>
      </x:c>
      <x:c r="K87" s="7" t="str">
        <x:f t="shared" si="3"/>
        <x:v>APPROVED</x:v>
      </x:c>
      <x:c r="L87" s="4" t="s">
        <x:v>1535</x:v>
      </x:c>
    </x:row>
    <x:row r="88" ht="22.5" customHeight="1">
      <x:c r="A88" s="4" t="s">
        <x:v>9</x:v>
      </x:c>
      <x:c r="B88" s="4" t="s">
        <x:v>1536</x:v>
      </x:c>
      <x:c r="C88" s="4"/>
      <x:c r="D88" s="4" t="s">
        <x:v>1537</x:v>
      </x:c>
      <x:c r="E88" s="4"/>
      <x:c r="F88" s="4" t="s">
        <x:v>1537</x:v>
      </x:c>
      <x:c r="G88" s="5" t="s">
        <x:v>1538</x:v>
      </x:c>
      <x:c r="H88" s="8" t="s">
        <x:v>1538</x:v>
      </x:c>
      <x:c r="I88" s="6" t="s">
        <x:v>1204</x:v>
      </x:c>
      <x:c r="J88" s="7" t="str">
        <x:f t="shared" si="2"/>
        <x:v>黑绿中速</x:v>
      </x:c>
      <x:c r="K88" s="7" t="str">
        <x:f t="shared" si="3"/>
        <x:v>APPROVED</x:v>
      </x:c>
      <x:c r="L88" s="4" t="s">
        <x:v>1539</x:v>
      </x:c>
    </x:row>
    <x:row r="89" ht="22.5" customHeight="1">
      <x:c r="A89" s="4" t="s">
        <x:v>9</x:v>
      </x:c>
      <x:c r="B89" s="4" t="s">
        <x:v>1540</x:v>
      </x:c>
      <x:c r="C89" s="4"/>
      <x:c r="D89" s="4" t="s">
        <x:v>1541</x:v>
      </x:c>
      <x:c r="E89" s="4"/>
      <x:c r="F89" s="4" t="s">
        <x:v>1541</x:v>
      </x:c>
      <x:c r="G89" s="5" t="s">
        <x:v>1542</x:v>
      </x:c>
      <x:c r="H89" s="8" t="s">
        <x:v>1543</x:v>
      </x:c>
      <x:c r="I89" s="6" t="s">
        <x:v>1204</x:v>
      </x:c>
      <x:c r="J89" s="7" t="str">
        <x:f t="shared" si="2"/>
        <x:v>白绿中速</x:v>
      </x:c>
      <x:c r="K89" s="7" t="str">
        <x:f t="shared" si="3"/>
        <x:v>APPROVED</x:v>
      </x:c>
      <x:c r="L89" s="4" t="s">
        <x:v>1544</x:v>
      </x:c>
    </x:row>
    <x:row r="90" ht="22.5" customHeight="1">
      <x:c r="A90" s="4" t="s">
        <x:v>9</x:v>
      </x:c>
      <x:c r="B90" s="4" t="s">
        <x:v>1545</x:v>
      </x:c>
      <x:c r="C90" s="4"/>
      <x:c r="D90" s="4" t="s">
        <x:v>397</x:v>
      </x:c>
      <x:c r="E90" s="4"/>
      <x:c r="F90" s="4" t="s">
        <x:v>397</x:v>
      </x:c>
      <x:c r="G90" s="5" t="s">
        <x:v>1546</x:v>
      </x:c>
      <x:c r="H90" s="8" t="s">
        <x:v>1546</x:v>
      </x:c>
      <x:c r="I90" s="6" t="s">
        <x:v>1204</x:v>
      </x:c>
      <x:c r="J90" s="7" t="str">
        <x:f t="shared" si="2"/>
        <x:v>蓝白锁</x:v>
      </x:c>
      <x:c r="K90" s="7" t="str">
        <x:f t="shared" si="3"/>
        <x:v>APPROVED</x:v>
      </x:c>
      <x:c r="L90" s="4" t="s">
        <x:v>1547</x:v>
      </x:c>
    </x:row>
    <x:row r="91" ht="22.5" customHeight="1">
      <x:c r="A91" s="9" t="s">
        <x:v>9</x:v>
      </x:c>
      <x:c r="B91" s="9" t="s">
        <x:v>1548</x:v>
      </x:c>
      <x:c r="C91" s="9"/>
      <x:c r="D91" s="9" t="s">
        <x:v>1549</x:v>
      </x:c>
      <x:c r="E91" s="9"/>
      <x:c r="F91" s="9" t="s">
        <x:v>1549</x:v>
      </x:c>
      <x:c r="G91" s="10" t="s">
        <x:v>1550</x:v>
      </x:c>
      <x:c r="H91" s="14" t="s">
        <x:v>1551</x:v>
      </x:c>
      <x:c r="I91" s="11" t="s">
        <x:v>1204</x:v>
      </x:c>
      <x:c r="J91" s="12" t="str">
        <x:f t="shared" si="2"/>
        <x:v>科纳全知</x:v>
      </x:c>
      <x:c r="K91" s="12" t="str">
        <x:f t="shared" si="3"/>
        <x:v>APPROVED</x:v>
      </x:c>
      <x:c r="L91" s="13" t="s">
        <x:v>1552</x:v>
      </x:c>
    </x:row>
    <x:row r="92" ht="22.5" customHeight="1">
      <x:c r="A92" s="4" t="s">
        <x:v>9</x:v>
      </x:c>
      <x:c r="B92" s="4" t="s">
        <x:v>1548</x:v>
      </x:c>
      <x:c r="C92" s="4" t="s">
        <x:v>1553</x:v>
      </x:c>
      <x:c r="D92" s="4" t="s">
        <x:v>1549</x:v>
      </x:c>
      <x:c r="E92" s="4" t="s">
        <x:v>1554</x:v>
      </x:c>
      <x:c r="F92" s="4" t="s">
        <x:v>1555</x:v>
      </x:c>
      <x:c r="G92" s="5" t="s">
        <x:v>1556</x:v>
      </x:c>
      <x:c r="H92" s="6" t="s">
        <x:v>1557</x:v>
      </x:c>
      <x:c r="I92" s="6" t="s">
        <x:v>1204</x:v>
      </x:c>
      <x:c r="J92" s="7" t="str">
        <x:f t="shared" si="2"/>
        <x:v>铁木尔全知</x:v>
      </x:c>
      <x:c r="K92" s="7" t="str">
        <x:f t="shared" si="3"/>
        <x:v>APPROVED</x:v>
      </x:c>
      <x:c r="L92" s="4" t="s">
        <x:v>1558</x:v>
      </x:c>
    </x:row>
    <x:row r="93" ht="22.5" customHeight="1">
      <x:c r="A93" s="4" t="s">
        <x:v>9</x:v>
      </x:c>
      <x:c r="B93" s="4" t="s">
        <x:v>1548</x:v>
      </x:c>
      <x:c r="C93" s="4" t="s">
        <x:v>1559</x:v>
      </x:c>
      <x:c r="D93" s="4" t="s">
        <x:v>1549</x:v>
      </x:c>
      <x:c r="E93" s="4" t="s">
        <x:v>1560</x:v>
      </x:c>
      <x:c r="F93" s="4" t="s">
        <x:v>1561</x:v>
      </x:c>
      <x:c r="G93" s="5" t="s">
        <x:v>1562</x:v>
      </x:c>
      <x:c r="H93" s="6" t="s">
        <x:v>1563</x:v>
      </x:c>
      <x:c r="I93" s="6" t="s">
        <x:v>1204</x:v>
      </x:c>
      <x:c r="J93" s="7" t="str">
        <x:f t="shared" si="2"/>
        <x:v>班特全知</x:v>
      </x:c>
      <x:c r="K93" s="7" t="str">
        <x:f t="shared" si="3"/>
        <x:v>APPROVED</x:v>
      </x:c>
      <x:c r="L93" s="4" t="s">
        <x:v>1564</x:v>
      </x:c>
    </x:row>
    <x:row r="94" ht="22.5" customHeight="1">
      <x:c r="A94" s="4" t="s">
        <x:v>9</x:v>
      </x:c>
      <x:c r="B94" s="4" t="s">
        <x:v>1548</x:v>
      </x:c>
      <x:c r="C94" s="4" t="s">
        <x:v>1565</x:v>
      </x:c>
      <x:c r="D94" s="4" t="s">
        <x:v>1549</x:v>
      </x:c>
      <x:c r="E94" s="4" t="s">
        <x:v>1566</x:v>
      </x:c>
      <x:c r="F94" s="4" t="s">
        <x:v>1567</x:v>
      </x:c>
      <x:c r="G94" s="5" t="s">
        <x:v>1568</x:v>
      </x:c>
      <x:c r="H94" s="6" t="s">
        <x:v>1569</x:v>
      </x:c>
      <x:c r="I94" s="6" t="s">
        <x:v>1204</x:v>
      </x:c>
      <x:c r="J94" s="7" t="str">
        <x:f t="shared" si="2"/>
        <x:v>蓝绿全知</x:v>
      </x:c>
      <x:c r="K94" s="7" t="str">
        <x:f t="shared" si="3"/>
        <x:v>APPROVED</x:v>
      </x:c>
      <x:c r="L94" s="4" t="s">
        <x:v>1570</x:v>
      </x:c>
    </x:row>
    <x:row r="95" ht="22.5" customHeight="1">
      <x:c r="A95" s="4" t="s">
        <x:v>9</x:v>
      </x:c>
      <x:c r="B95" s="4" t="s">
        <x:v>1571</x:v>
      </x:c>
      <x:c r="C95" s="4"/>
      <x:c r="D95" s="4" t="s">
        <x:v>1572</x:v>
      </x:c>
      <x:c r="E95" s="4"/>
      <x:c r="F95" s="4" t="s">
        <x:v>1572</x:v>
      </x:c>
      <x:c r="G95" s="5" t="s">
        <x:v>1573</x:v>
      </x:c>
      <x:c r="H95" s="8" t="s">
        <x:v>1574</x:v>
      </x:c>
      <x:c r="I95" s="6" t="s">
        <x:v>1204</x:v>
      </x:c>
      <x:c r="J95" s="7" t="str">
        <x:f t="shared" si="2"/>
        <x:v>洁斯凯黑控制</x:v>
      </x:c>
      <x:c r="K95" s="7" t="str">
        <x:f t="shared" si="3"/>
        <x:v>APPROVED</x:v>
      </x:c>
      <x:c r="L95" s="4" t="s">
        <x:v>1575</x:v>
      </x:c>
    </x:row>
    <x:row r="96" ht="22.5" customHeight="1">
      <x:c r="A96" s="4" t="s">
        <x:v>9</x:v>
      </x:c>
      <x:c r="B96" s="4" t="s">
        <x:v>1576</x:v>
      </x:c>
      <x:c r="C96" s="4"/>
      <x:c r="D96" s="4" t="s">
        <x:v>1577</x:v>
      </x:c>
      <x:c r="E96" s="4"/>
      <x:c r="F96" s="4" t="s">
        <x:v>1577</x:v>
      </x:c>
      <x:c r="G96" s="5" t="s">
        <x:v>1578</x:v>
      </x:c>
      <x:c r="H96" s="6" t="s">
        <x:v>1578</x:v>
      </x:c>
      <x:c r="I96" s="6" t="s">
        <x:v>1204</x:v>
      </x:c>
      <x:c r="J96" s="7" t="str">
        <x:f t="shared" si="2"/>
        <x:v>白苏勒台控制</x:v>
      </x:c>
      <x:c r="K96" s="7" t="str">
        <x:f t="shared" si="3"/>
        <x:v>APPROVED</x:v>
      </x:c>
      <x:c r="L96" s="4" t="s">
        <x:v>1579</x:v>
      </x:c>
    </x:row>
    <x:row r="97" ht="22.5" customHeight="1">
      <x:c r="A97" s="4" t="s">
        <x:v>9</x:v>
      </x:c>
      <x:c r="B97" s="4" t="s">
        <x:v>285</x:v>
      </x:c>
      <x:c r="C97" s="4"/>
      <x:c r="D97" s="4" t="s">
        <x:v>130</x:v>
      </x:c>
      <x:c r="E97" s="4"/>
      <x:c r="F97" s="4" t="s">
        <x:v>130</x:v>
      </x:c>
      <x:c r="G97" s="5" t="s">
        <x:v>1580</x:v>
      </x:c>
      <x:c r="H97" s="6" t="s">
        <x:v>1580</x:v>
      </x:c>
      <x:c r="I97" s="6" t="s">
        <x:v>1204</x:v>
      </x:c>
      <x:c r="J97" s="7" t="str">
        <x:f t="shared" si="2"/>
        <x:v>黑白回血</x:v>
      </x:c>
      <x:c r="K97" s="7" t="str">
        <x:f t="shared" si="3"/>
        <x:v>APPROVED</x:v>
      </x:c>
      <x:c r="L97" s="4" t="s">
        <x:v>286</x:v>
      </x:c>
    </x:row>
    <x:row r="98" ht="22.5" customHeight="1">
      <x:c r="A98" s="4" t="s">
        <x:v>9</x:v>
      </x:c>
      <x:c r="B98" s="4" t="s">
        <x:v>315</x:v>
      </x:c>
      <x:c r="C98" s="4"/>
      <x:c r="D98" s="4" t="s">
        <x:v>150</x:v>
      </x:c>
      <x:c r="E98" s="4"/>
      <x:c r="F98" s="4" t="s">
        <x:v>150</x:v>
      </x:c>
      <x:c r="G98" s="5" t="s">
        <x:v>1581</x:v>
      </x:c>
      <x:c r="H98" s="6" t="s">
        <x:v>1581</x:v>
      </x:c>
      <x:c r="I98" s="6" t="s">
        <x:v>1204</x:v>
      </x:c>
      <x:c r="J98" s="7" t="str">
        <x:f t="shared" si="2"/>
        <x:v>五色人类</x:v>
      </x:c>
      <x:c r="K98" s="7" t="str">
        <x:f t="shared" si="3"/>
        <x:v>APPROVED</x:v>
      </x:c>
      <x:c r="L98" s="4" t="s">
        <x:v>316</x:v>
      </x:c>
    </x:row>
    <x:row r="99" ht="22.5" customHeight="1">
      <x:c r="A99" s="4" t="s">
        <x:v>9</x:v>
      </x:c>
      <x:c r="B99" s="4" t="s">
        <x:v>1582</x:v>
      </x:c>
      <x:c r="C99" s="4"/>
      <x:c r="D99" s="4" t="s">
        <x:v>1583</x:v>
      </x:c>
      <x:c r="E99" s="4"/>
      <x:c r="F99" s="4" t="s">
        <x:v>1583</x:v>
      </x:c>
      <x:c r="G99" s="5" t="s">
        <x:v>1584</x:v>
      </x:c>
      <x:c r="H99" s="8" t="s">
        <x:v>1585</x:v>
      </x:c>
      <x:c r="I99" s="6" t="s">
        <x:v>1204</x:v>
      </x:c>
      <x:c r="J99" s="7" t="str">
        <x:f t="shared" si="2"/>
        <x:v>纯绿联盟</x:v>
      </x:c>
      <x:c r="K99" s="7" t="str">
        <x:f t="shared" si="3"/>
        <x:v>APPROVED</x:v>
      </x:c>
      <x:c r="L99" s="4" t="s">
        <x:v>1586</x:v>
      </x:c>
    </x:row>
    <x:row r="100" ht="22.5" customHeight="1">
      <x:c r="A100" s="4" t="s">
        <x:v>9</x:v>
      </x:c>
      <x:c r="B100" s="4" t="s">
        <x:v>1587</x:v>
      </x:c>
      <x:c r="C100" s="4"/>
      <x:c r="D100" s="4" t="s">
        <x:v>1588</x:v>
      </x:c>
      <x:c r="E100" s="4"/>
      <x:c r="F100" s="4" t="s">
        <x:v>1588</x:v>
      </x:c>
      <x:c r="G100" s="5" t="s">
        <x:v>1589</x:v>
      </x:c>
      <x:c r="H100" s="6" t="s">
        <x:v>1589</x:v>
      </x:c>
      <x:c r="I100" s="6" t="s">
        <x:v>1204</x:v>
      </x:c>
      <x:c r="J100" s="7" t="str">
        <x:f t="shared" si="2"/>
        <x:v>艾斯波控制</x:v>
      </x:c>
      <x:c r="K100" s="7" t="str">
        <x:f t="shared" si="3"/>
        <x:v>APPROVED</x:v>
      </x:c>
      <x:c r="L100" s="4" t="s">
        <x:v>1590</x:v>
      </x:c>
    </x:row>
    <x:row r="101" ht="22.5" customHeight="1">
      <x:c r="A101" s="4" t="s">
        <x:v>9</x:v>
      </x:c>
      <x:c r="B101" s="4" t="s">
        <x:v>1591</x:v>
      </x:c>
      <x:c r="C101" s="4"/>
      <x:c r="D101" s="4" t="s">
        <x:v>1592</x:v>
      </x:c>
      <x:c r="E101" s="4"/>
      <x:c r="F101" s="4" t="s">
        <x:v>1592</x:v>
      </x:c>
      <x:c r="G101" s="5" t="s">
        <x:v>1593</x:v>
      </x:c>
      <x:c r="H101" s="8" t="s">
        <x:v>1593</x:v>
      </x:c>
      <x:c r="I101" s="6" t="s">
        <x:v>1204</x:v>
      </x:c>
      <x:c r="J101" s="7" t="str">
        <x:f t="shared" si="2"/>
        <x:v>蓝白灵技</x:v>
      </x:c>
      <x:c r="K101" s="7" t="str">
        <x:f t="shared" si="3"/>
        <x:v>APPROVED</x:v>
      </x:c>
      <x:c r="L101" s="4" t="s">
        <x:v>1594</x:v>
      </x:c>
    </x:row>
    <x:row r="102" ht="22.5" customHeight="1">
      <x:c r="A102" s="4" t="s">
        <x:v>9</x:v>
      </x:c>
      <x:c r="B102" s="4" t="s">
        <x:v>1595</x:v>
      </x:c>
      <x:c r="C102" s="4"/>
      <x:c r="D102" s="4" t="s">
        <x:v>1596</x:v>
      </x:c>
      <x:c r="E102" s="4"/>
      <x:c r="F102" s="4" t="s">
        <x:v>1596</x:v>
      </x:c>
      <x:c r="G102" s="5" t="s">
        <x:v>1597</x:v>
      </x:c>
      <x:c r="H102" s="8" t="s">
        <x:v>1597</x:v>
      </x:c>
      <x:c r="I102" s="6" t="s">
        <x:v>1204</x:v>
      </x:c>
      <x:c r="J102" s="7" t="str">
        <x:f t="shared" si="2"/>
        <x:v>苏勒台中速</x:v>
      </x:c>
      <x:c r="K102" s="7" t="str">
        <x:f t="shared" si="3"/>
        <x:v>APPROVED</x:v>
      </x:c>
      <x:c r="L102" s="4" t="s">
        <x:v>1598</x:v>
      </x:c>
    </x:row>
    <x:row r="103" ht="22.5" customHeight="1">
      <x:c r="A103" s="4" t="s">
        <x:v>9</x:v>
      </x:c>
      <x:c r="B103" s="4" t="s">
        <x:v>1599</x:v>
      </x:c>
      <x:c r="C103" s="4"/>
      <x:c r="D103" s="4" t="s">
        <x:v>1600</x:v>
      </x:c>
      <x:c r="E103" s="4"/>
      <x:c r="F103" s="4" t="s">
        <x:v>1600</x:v>
      </x:c>
      <x:c r="G103" s="5" t="s">
        <x:v>1601</x:v>
      </x:c>
      <x:c r="H103" s="8" t="s">
        <x:v>1602</x:v>
      </x:c>
      <x:c r="I103" s="6" t="s">
        <x:v>1204</x:v>
      </x:c>
      <x:c r="J103" s="7" t="str">
        <x:f t="shared" si="2"/>
        <x:v>纯白衍生物</x:v>
      </x:c>
      <x:c r="K103" s="7" t="str">
        <x:f t="shared" si="3"/>
        <x:v>APPROVED</x:v>
      </x:c>
      <x:c r="L103" s="4" t="s">
        <x:v>1603</x:v>
      </x:c>
    </x:row>
    <x:row r="104" ht="22.5" customHeight="1">
      <x:c r="A104" s="4" t="s">
        <x:v>9</x:v>
      </x:c>
      <x:c r="B104" s="4" t="s">
        <x:v>1604</x:v>
      </x:c>
      <x:c r="C104" s="4"/>
      <x:c r="D104" s="4" t="s">
        <x:v>1605</x:v>
      </x:c>
      <x:c r="E104" s="4"/>
      <x:c r="F104" s="4" t="s">
        <x:v>1605</x:v>
      </x:c>
      <x:c r="G104" s="5" t="s">
        <x:v>1606</x:v>
      </x:c>
      <x:c r="H104" s="6" t="s">
        <x:v>1607</x:v>
      </x:c>
      <x:c r="I104" s="6" t="s">
        <x:v>1204</x:v>
      </x:c>
      <x:c r="J104" s="7" t="str">
        <x:f t="shared" si="2"/>
        <x:v>红蓝烧</x:v>
      </x:c>
      <x:c r="K104" s="7" t="str">
        <x:f t="shared" si="3"/>
        <x:v>APPROVED</x:v>
      </x:c>
      <x:c r="L104" s="4" t="s">
        <x:v>1608</x:v>
      </x:c>
    </x:row>
    <x:row r="105" ht="22.5" customHeight="1">
      <x:c r="A105" s="4" t="s">
        <x:v>9</x:v>
      </x:c>
      <x:c r="B105" s="4" t="s">
        <x:v>1609</x:v>
      </x:c>
      <x:c r="C105" s="4"/>
      <x:c r="D105" s="4" t="s">
        <x:v>1610</x:v>
      </x:c>
      <x:c r="E105" s="4"/>
      <x:c r="F105" s="4" t="s">
        <x:v>1610</x:v>
      </x:c>
      <x:c r="G105" s="5" t="s">
        <x:v>1611</x:v>
      </x:c>
      <x:c r="H105" s="8" t="s">
        <x:v>1612</x:v>
      </x:c>
      <x:c r="I105" s="6" t="s">
        <x:v>1204</x:v>
      </x:c>
      <x:c r="J105" s="7" t="str">
        <x:f t="shared" si="2"/>
        <x:v>纯绿松鼠</x:v>
      </x:c>
      <x:c r="K105" s="7" t="str">
        <x:f t="shared" si="3"/>
        <x:v>APPROVED</x:v>
      </x:c>
      <x:c r="L105" s="4" t="s">
        <x:v>1613</x:v>
      </x:c>
    </x:row>
    <x:row r="106" ht="22.5" customHeight="1">
      <x:c r="A106" s="4" t="s">
        <x:v>9</x:v>
      </x:c>
      <x:c r="B106" s="4" t="s">
        <x:v>1614</x:v>
      </x:c>
      <x:c r="C106" s="4"/>
      <x:c r="D106" s="4" t="s">
        <x:v>1615</x:v>
      </x:c>
      <x:c r="E106" s="4"/>
      <x:c r="F106" s="4" t="s">
        <x:v>1615</x:v>
      </x:c>
      <x:c r="G106" s="5" t="s">
        <x:v>1616</x:v>
      </x:c>
      <x:c r="H106" s="8" t="s">
        <x:v>1617</x:v>
      </x:c>
      <x:c r="I106" s="6" t="s">
        <x:v>1204</x:v>
      </x:c>
      <x:c r="J106" s="7" t="str">
        <x:f t="shared" si="2"/>
        <x:v>铁木尔浩克</x:v>
      </x:c>
      <x:c r="K106" s="7" t="str">
        <x:f t="shared" si="3"/>
        <x:v>APPROVED</x:v>
      </x:c>
      <x:c r="L106" s="4" t="s">
        <x:v>1618</x:v>
      </x:c>
    </x:row>
    <x:row r="107" ht="22.5" customHeight="1">
      <x:c r="A107" s="4" t="s">
        <x:v>9</x:v>
      </x:c>
      <x:c r="B107" s="4" t="s">
        <x:v>1619</x:v>
      </x:c>
      <x:c r="C107" s="4"/>
      <x:c r="D107" s="4" t="s">
        <x:v>1620</x:v>
      </x:c>
      <x:c r="E107" s="4"/>
      <x:c r="F107" s="4" t="s">
        <x:v>1620</x:v>
      </x:c>
      <x:c r="G107" s="5" t="s">
        <x:v>1621</x:v>
      </x:c>
      <x:c r="H107" s="6" t="s">
        <x:v>1622</x:v>
      </x:c>
      <x:c r="I107" s="6" t="s">
        <x:v>1204</x:v>
      </x:c>
      <x:c r="J107" s="7" t="str">
        <x:f t="shared" si="2"/>
        <x:v>蓝白贴皮</x:v>
      </x:c>
      <x:c r="K107" s="7" t="str">
        <x:f t="shared" si="3"/>
        <x:v>APPROVED</x:v>
      </x:c>
      <x:c r="L107" s="4" t="s">
        <x:v>1623</x:v>
      </x:c>
    </x:row>
    <x:row r="108" ht="22.5" customHeight="1">
      <x:c r="A108" s="4" t="s">
        <x:v>9</x:v>
      </x:c>
      <x:c r="B108" s="4" t="s">
        <x:v>1624</x:v>
      </x:c>
      <x:c r="C108" s="4"/>
      <x:c r="D108" s="4" t="s">
        <x:v>1625</x:v>
      </x:c>
      <x:c r="E108" s="4"/>
      <x:c r="F108" s="4" t="s">
        <x:v>1625</x:v>
      </x:c>
      <x:c r="G108" s="5" t="s">
        <x:v>1626</x:v>
      </x:c>
      <x:c r="H108" s="8" t="s">
        <x:v>1627</x:v>
      </x:c>
      <x:c r="I108" s="6" t="s">
        <x:v>1204</x:v>
      </x:c>
      <x:c r="J108" s="7" t="str">
        <x:f t="shared" si="2"/>
        <x:v>白绿加速</x:v>
      </x:c>
      <x:c r="K108" s="7" t="str">
        <x:f t="shared" si="3"/>
        <x:v>APPROVED</x:v>
      </x:c>
      <x:c r="L108" s="4" t="s">
        <x:v>1628</x:v>
      </x:c>
    </x:row>
    <x:row r="109" ht="22.5" customHeight="1">
      <x:c r="A109" s="4" t="s">
        <x:v>9</x:v>
      </x:c>
      <x:c r="B109" s="4" t="s">
        <x:v>1629</x:v>
      </x:c>
      <x:c r="C109" s="4"/>
      <x:c r="D109" s="4" t="s">
        <x:v>1630</x:v>
      </x:c>
      <x:c r="E109" s="4"/>
      <x:c r="F109" s="4" t="s">
        <x:v>1630</x:v>
      </x:c>
      <x:c r="G109" s="5" t="s">
        <x:v>1631</x:v>
      </x:c>
      <x:c r="H109" s="8" t="s">
        <x:v>1632</x:v>
      </x:c>
      <x:c r="I109" s="6" t="s">
        <x:v>1204</x:v>
      </x:c>
      <x:c r="J109" s="7" t="str">
        <x:f t="shared" si="2"/>
        <x:v>蓝白秘笼</x:v>
      </x:c>
      <x:c r="K109" s="7" t="str">
        <x:f t="shared" si="3"/>
        <x:v>APPROVED</x:v>
      </x:c>
      <x:c r="L109" s="4" t="s">
        <x:v>1633</x:v>
      </x:c>
    </x:row>
    <x:row r="110" ht="22.5" customHeight="1">
      <x:c r="A110" s="4" t="s">
        <x:v>9</x:v>
      </x:c>
      <x:c r="B110" s="4" t="s">
        <x:v>1634</x:v>
      </x:c>
      <x:c r="C110" s="4"/>
      <x:c r="D110" s="4" t="s">
        <x:v>1635</x:v>
      </x:c>
      <x:c r="E110" s="4"/>
      <x:c r="F110" s="4" t="s">
        <x:v>1635</x:v>
      </x:c>
      <x:c r="G110" s="5" t="s">
        <x:v>1636</x:v>
      </x:c>
      <x:c r="H110" s="8" t="s">
        <x:v>1637</x:v>
      </x:c>
      <x:c r="I110" s="6" t="s">
        <x:v>1204</x:v>
      </x:c>
      <x:c r="J110" s="7" t="str">
        <x:f t="shared" si="2"/>
        <x:v>小白</x:v>
      </x:c>
      <x:c r="K110" s="7" t="str">
        <x:f t="shared" si="3"/>
        <x:v>APPROVED</x:v>
      </x:c>
      <x:c r="L110" s="4" t="s">
        <x:v>1638</x:v>
      </x:c>
    </x:row>
    <x:row r="111" ht="22.5" customHeight="1">
      <x:c r="A111" s="4" t="s">
        <x:v>9</x:v>
      </x:c>
      <x:c r="B111" s="4" t="s">
        <x:v>1639</x:v>
      </x:c>
      <x:c r="C111" s="4"/>
      <x:c r="D111" s="4" t="s">
        <x:v>1640</x:v>
      </x:c>
      <x:c r="E111" s="4"/>
      <x:c r="F111" s="4" t="s">
        <x:v>1640</x:v>
      </x:c>
      <x:c r="G111" s="5" t="s">
        <x:v>1641</x:v>
      </x:c>
      <x:c r="H111" s="6" t="s">
        <x:v>1641</x:v>
      </x:c>
      <x:c r="I111" s="6" t="s">
        <x:v>1204</x:v>
      </x:c>
      <x:c r="J111" s="7" t="str">
        <x:f t="shared" si="2"/>
        <x:v>黑绿牺牲</x:v>
      </x:c>
      <x:c r="K111" s="7" t="str">
        <x:f t="shared" si="3"/>
        <x:v>APPROVED</x:v>
      </x:c>
      <x:c r="L111" s="4" t="s">
        <x:v>1642</x:v>
      </x:c>
    </x:row>
    <x:row r="112" ht="22.5" customHeight="1">
      <x:c r="A112" s="4" t="s">
        <x:v>9</x:v>
      </x:c>
      <x:c r="B112" s="4" t="s">
        <x:v>1643</x:v>
      </x:c>
      <x:c r="C112" s="4"/>
      <x:c r="D112" s="4" t="s">
        <x:v>1644</x:v>
      </x:c>
      <x:c r="E112" s="4"/>
      <x:c r="F112" s="4" t="s">
        <x:v>1644</x:v>
      </x:c>
      <x:c r="G112" s="5" t="s">
        <x:v>1645</x:v>
      </x:c>
      <x:c r="H112" s="6" t="s">
        <x:v>1646</x:v>
      </x:c>
      <x:c r="I112" s="6" t="s">
        <x:v>1204</x:v>
      </x:c>
      <x:c r="J112" s="7" t="str">
        <x:f t="shared" si="2"/>
        <x:v>纯蓝纳摩</x:v>
      </x:c>
      <x:c r="K112" s="7" t="str">
        <x:f t="shared" si="3"/>
        <x:v>APPROVED</x:v>
      </x:c>
      <x:c r="L112" s="4" t="s">
        <x:v>1647</x:v>
      </x:c>
    </x:row>
    <x:row r="113" ht="22.5" customHeight="1">
      <x:c r="A113" s="4" t="s">
        <x:v>9</x:v>
      </x:c>
      <x:c r="B113" s="4" t="s">
        <x:v>1648</x:v>
      </x:c>
      <x:c r="C113" s="4"/>
      <x:c r="D113" s="4" t="s">
        <x:v>1649</x:v>
      </x:c>
      <x:c r="E113" s="4"/>
      <x:c r="F113" s="4" t="s">
        <x:v>1649</x:v>
      </x:c>
      <x:c r="G113" s="5" t="s">
        <x:v>1650</x:v>
      </x:c>
      <x:c r="H113" s="8" t="s">
        <x:v>1651</x:v>
      </x:c>
      <x:c r="I113" s="6" t="s">
        <x:v>1204</x:v>
      </x:c>
      <x:c r="J113" s="7" t="str">
        <x:f t="shared" si="2"/>
        <x:v>蓝黑大眼</x:v>
      </x:c>
      <x:c r="K113" s="7" t="str">
        <x:f t="shared" si="3"/>
        <x:v>APPROVED</x:v>
      </x:c>
      <x:c r="L113" s="4" t="s">
        <x:v>1652</x:v>
      </x:c>
    </x:row>
    <x:row r="114" ht="22.5" customHeight="1">
      <x:c r="A114" s="4" t="s">
        <x:v>9</x:v>
      </x:c>
      <x:c r="B114" s="4" t="s">
        <x:v>1653</x:v>
      </x:c>
      <x:c r="C114" s="4"/>
      <x:c r="D114" s="4" t="s">
        <x:v>1654</x:v>
      </x:c>
      <x:c r="E114" s="4"/>
      <x:c r="F114" s="4" t="s">
        <x:v>1654</x:v>
      </x:c>
      <x:c r="G114" s="5" t="s">
        <x:v>1655</x:v>
      </x:c>
      <x:c r="H114" s="8" t="s">
        <x:v>1656</x:v>
      </x:c>
      <x:c r="I114" s="6" t="s">
        <x:v>1204</x:v>
      </x:c>
      <x:c r="J114" s="7" t="str">
        <x:f t="shared" si="2"/>
        <x:v>苏勒台大眼</x:v>
      </x:c>
      <x:c r="K114" s="7" t="str">
        <x:f t="shared" si="3"/>
        <x:v>APPROVED</x:v>
      </x:c>
      <x:c r="L114" s="4" t="s">
        <x:v>1657</x:v>
      </x:c>
    </x:row>
    <x:row r="115" ht="22.5" customHeight="1">
      <x:c r="A115" s="4" t="s">
        <x:v>9</x:v>
      </x:c>
      <x:c r="B115" s="4" t="s">
        <x:v>1658</x:v>
      </x:c>
      <x:c r="C115" s="4"/>
      <x:c r="D115" s="4" t="s">
        <x:v>1659</x:v>
      </x:c>
      <x:c r="E115" s="4"/>
      <x:c r="F115" s="4" t="s">
        <x:v>1659</x:v>
      </x:c>
      <x:c r="G115" s="5" t="s">
        <x:v>1660</x:v>
      </x:c>
      <x:c r="H115" s="6" t="s">
        <x:v>1660</x:v>
      </x:c>
      <x:c r="I115" s="6" t="s">
        <x:v>1204</x:v>
      </x:c>
      <x:c r="J115" s="7" t="str">
        <x:f t="shared" si="2"/>
        <x:v>蓝白衍生物控制</x:v>
      </x:c>
      <x:c r="K115" s="7" t="str">
        <x:f t="shared" si="3"/>
        <x:v>APPROVED</x:v>
      </x:c>
      <x:c r="L115" s="4" t="s">
        <x:v>1661</x:v>
      </x:c>
    </x:row>
    <x:row r="116" ht="22.5" customHeight="1">
      <x:c r="A116" s="4" t="s">
        <x:v>9</x:v>
      </x:c>
      <x:c r="B116" s="4" t="s">
        <x:v>1662</x:v>
      </x:c>
      <x:c r="C116" s="4"/>
      <x:c r="D116" s="4" t="s">
        <x:v>1663</x:v>
      </x:c>
      <x:c r="E116" s="4"/>
      <x:c r="F116" s="4" t="s">
        <x:v>1663</x:v>
      </x:c>
      <x:c r="G116" s="5" t="s">
        <x:v>1664</x:v>
      </x:c>
      <x:c r="H116" s="6" t="s">
        <x:v>1664</x:v>
      </x:c>
      <x:c r="I116" s="6" t="s">
        <x:v>1204</x:v>
      </x:c>
      <x:c r="J116" s="7" t="str">
        <x:f t="shared" si="2"/>
        <x:v>红绿怪兽</x:v>
      </x:c>
      <x:c r="K116" s="7" t="str">
        <x:f t="shared" si="3"/>
        <x:v>APPROVED</x:v>
      </x:c>
      <x:c r="L116" s="4" t="s">
        <x:v>1665</x:v>
      </x:c>
    </x:row>
    <x:row r="117" ht="22.5" customHeight="1">
      <x:c r="A117" s="4" t="s">
        <x:v>9</x:v>
      </x:c>
      <x:c r="B117" s="4" t="s">
        <x:v>1666</x:v>
      </x:c>
      <x:c r="C117" s="4"/>
      <x:c r="D117" s="4" t="s">
        <x:v>1667</x:v>
      </x:c>
      <x:c r="E117" s="4"/>
      <x:c r="F117" s="4" t="s">
        <x:v>1667</x:v>
      </x:c>
      <x:c r="G117" s="5" t="s">
        <x:v>1668</x:v>
      </x:c>
      <x:c r="H117" s="6" t="s">
        <x:v>1669</x:v>
      </x:c>
      <x:c r="I117" s="6" t="s">
        <x:v>1204</x:v>
      </x:c>
      <x:c r="J117" s="7" t="str">
        <x:f t="shared" si="2"/>
        <x:v>红蓝钢铁侠</x:v>
      </x:c>
      <x:c r="K117" s="7" t="str">
        <x:f t="shared" si="3"/>
        <x:v>APPROVED</x:v>
      </x:c>
      <x:c r="L117" s="4" t="s">
        <x:v>1670</x:v>
      </x:c>
    </x:row>
    <x:row r="118" ht="22.5" customHeight="1">
      <x:c r="A118" s="4" t="s">
        <x:v>9</x:v>
      </x:c>
      <x:c r="B118" s="4" t="s">
        <x:v>1671</x:v>
      </x:c>
      <x:c r="C118" s="4"/>
      <x:c r="D118" s="4" t="s">
        <x:v>1672</x:v>
      </x:c>
      <x:c r="E118" s="4"/>
      <x:c r="F118" s="4" t="s">
        <x:v>1672</x:v>
      </x:c>
      <x:c r="G118" s="5" t="s">
        <x:v>1673</x:v>
      </x:c>
      <x:c r="H118" s="8" t="s">
        <x:v>1674</x:v>
      </x:c>
      <x:c r="I118" s="6" t="s">
        <x:v>1204</x:v>
      </x:c>
      <x:c r="J118" s="7" t="str">
        <x:f t="shared" si="2"/>
        <x:v>红黑炸地</x:v>
      </x:c>
      <x:c r="K118" s="7" t="str">
        <x:f t="shared" si="3"/>
        <x:v>APPROVED</x:v>
      </x:c>
      <x:c r="L118" s="4" t="s">
        <x:v>1675</x:v>
      </x:c>
    </x:row>
    <x:row r="119" ht="22.5" customHeight="1">
      <x:c r="A119" s="4" t="s">
        <x:v>9</x:v>
      </x:c>
      <x:c r="B119" s="4" t="s">
        <x:v>1676</x:v>
      </x:c>
      <x:c r="C119" s="4"/>
      <x:c r="D119" s="4" t="s">
        <x:v>1677</x:v>
      </x:c>
      <x:c r="E119" s="4"/>
      <x:c r="F119" s="4" t="s">
        <x:v>1677</x:v>
      </x:c>
      <x:c r="G119" s="5" t="s">
        <x:v>1678</x:v>
      </x:c>
      <x:c r="H119" s="6" t="s">
        <x:v>1678</x:v>
      </x:c>
      <x:c r="I119" s="6" t="s">
        <x:v>1204</x:v>
      </x:c>
      <x:c r="J119" s="7" t="str">
        <x:f t="shared" si="2"/>
        <x:v>蓝黑闪现</x:v>
      </x:c>
      <x:c r="K119" s="7" t="str">
        <x:f t="shared" si="3"/>
        <x:v>APPROVED</x:v>
      </x:c>
      <x:c r="L119" s="4" t="s">
        <x:v>1679</x:v>
      </x:c>
    </x:row>
    <x:row r="120" ht="22.5" customHeight="1">
      <x:c r="A120" s="4" t="s">
        <x:v>9</x:v>
      </x:c>
      <x:c r="B120" s="4" t="s">
        <x:v>1680</x:v>
      </x:c>
      <x:c r="C120" s="4"/>
      <x:c r="D120" s="4" t="s">
        <x:v>1681</x:v>
      </x:c>
      <x:c r="E120" s="4"/>
      <x:c r="F120" s="4" t="s">
        <x:v>1681</x:v>
      </x:c>
      <x:c r="G120" s="5" t="s">
        <x:v>1682</x:v>
      </x:c>
      <x:c r="H120" s="6" t="s">
        <x:v>1682</x:v>
      </x:c>
      <x:c r="I120" s="6" t="s">
        <x:v>1204</x:v>
      </x:c>
      <x:c r="J120" s="7" t="str">
        <x:f t="shared" si="2"/>
        <x:v>黑白恶魔</x:v>
      </x:c>
      <x:c r="K120" s="7" t="str">
        <x:f t="shared" si="3"/>
        <x:v>APPROVED</x:v>
      </x:c>
      <x:c r="L120" s="4" t="s">
        <x:v>1683</x:v>
      </x:c>
    </x:row>
    <x:row r="121" ht="22.5" customHeight="1">
      <x:c r="A121" s="4" t="s">
        <x:v>9</x:v>
      </x:c>
      <x:c r="B121" s="4" t="s">
        <x:v>1684</x:v>
      </x:c>
      <x:c r="C121" s="4"/>
      <x:c r="D121" s="4" t="s">
        <x:v>1685</x:v>
      </x:c>
      <x:c r="E121" s="4"/>
      <x:c r="F121" s="4" t="s">
        <x:v>1685</x:v>
      </x:c>
      <x:c r="G121" s="5" t="s">
        <x:v>1686</x:v>
      </x:c>
      <x:c r="H121" s="6" t="s">
        <x:v>1686</x:v>
      </x:c>
      <x:c r="I121" s="6" t="s">
        <x:v>1204</x:v>
      </x:c>
      <x:c r="J121" s="7" t="str">
        <x:f t="shared" si="2"/>
        <x:v>红绿恐龙</x:v>
      </x:c>
      <x:c r="K121" s="7" t="str">
        <x:f t="shared" si="3"/>
        <x:v>APPROVED</x:v>
      </x:c>
      <x:c r="L121" s="4" t="s">
        <x:v>1687</x:v>
      </x:c>
    </x:row>
    <x:row r="122" ht="22.5" customHeight="1">
      <x:c r="A122" s="4" t="s">
        <x:v>9</x:v>
      </x:c>
      <x:c r="B122" s="4" t="s">
        <x:v>1688</x:v>
      </x:c>
      <x:c r="C122" s="4"/>
      <x:c r="D122" s="4" t="s">
        <x:v>1689</x:v>
      </x:c>
      <x:c r="E122" s="4"/>
      <x:c r="F122" s="4" t="s">
        <x:v>1689</x:v>
      </x:c>
      <x:c r="G122" s="5" t="s">
        <x:v>1690</x:v>
      </x:c>
      <x:c r="H122" s="8" t="s">
        <x:v>1691</x:v>
      </x:c>
      <x:c r="I122" s="6" t="s">
        <x:v>1204</x:v>
      </x:c>
      <x:c r="J122" s="7" t="str">
        <x:f t="shared" si="2"/>
        <x:v>纯白贴皮</x:v>
      </x:c>
      <x:c r="K122" s="7" t="str">
        <x:f t="shared" si="3"/>
        <x:v>APPROVED</x:v>
      </x:c>
      <x:c r="L122" s="4" t="s">
        <x:v>1692</x:v>
      </x:c>
    </x:row>
    <x:row r="123" ht="22.5" customHeight="1">
      <x:c r="A123" s="4" t="s">
        <x:v>9</x:v>
      </x:c>
      <x:c r="B123" s="4" t="s">
        <x:v>1693</x:v>
      </x:c>
      <x:c r="C123" s="4"/>
      <x:c r="D123" s="4" t="s">
        <x:v>1694</x:v>
      </x:c>
      <x:c r="E123" s="4"/>
      <x:c r="F123" s="4" t="s">
        <x:v>1694</x:v>
      </x:c>
      <x:c r="G123" s="5" t="s">
        <x:v>1695</x:v>
      </x:c>
      <x:c r="H123" s="6" t="s">
        <x:v>1695</x:v>
      </x:c>
      <x:c r="I123" s="6" t="s">
        <x:v>1204</x:v>
      </x:c>
      <x:c r="J123" s="7" t="str">
        <x:f t="shared" si="2"/>
        <x:v>洁斯凯武具</x:v>
      </x:c>
      <x:c r="K123" s="7" t="str">
        <x:f t="shared" si="3"/>
        <x:v>APPROVED</x:v>
      </x:c>
      <x:c r="L123" s="4" t="s">
        <x:v>1696</x:v>
      </x:c>
    </x:row>
    <x:row r="124" ht="22.5" customHeight="1">
      <x:c r="A124" s="4" t="s">
        <x:v>9</x:v>
      </x:c>
      <x:c r="B124" s="4" t="s">
        <x:v>1697</x:v>
      </x:c>
      <x:c r="C124" s="4"/>
      <x:c r="D124" s="4" t="s">
        <x:v>1698</x:v>
      </x:c>
      <x:c r="E124" s="4"/>
      <x:c r="F124" s="4" t="s">
        <x:v>1698</x:v>
      </x:c>
      <x:c r="G124" s="5" t="s">
        <x:v>1699</x:v>
      </x:c>
      <x:c r="H124" s="8" t="s">
        <x:v>1699</x:v>
      </x:c>
      <x:c r="I124" s="6" t="s">
        <x:v>1204</x:v>
      </x:c>
      <x:c r="J124" s="7" t="str">
        <x:f t="shared" si="2"/>
        <x:v>黑白模模</x:v>
      </x:c>
      <x:c r="K124" s="7" t="str">
        <x:f t="shared" si="3"/>
        <x:v>APPROVED</x:v>
      </x:c>
      <x:c r="L124" s="4" t="s">
        <x:v>1700</x:v>
      </x:c>
    </x:row>
    <x:row r="125" ht="22.5" customHeight="1">
      <x:c r="A125" s="4" t="s">
        <x:v>9</x:v>
      </x:c>
      <x:c r="B125" s="4" t="s">
        <x:v>1701</x:v>
      </x:c>
      <x:c r="C125" s="4"/>
      <x:c r="D125" s="4" t="s">
        <x:v>1702</x:v>
      </x:c>
      <x:c r="E125" s="4"/>
      <x:c r="F125" s="4" t="s">
        <x:v>1702</x:v>
      </x:c>
      <x:c r="G125" s="5" t="s">
        <x:v>1703</x:v>
      </x:c>
      <x:c r="H125" s="8" t="s">
        <x:v>1703</x:v>
      </x:c>
      <x:c r="I125" s="6" t="s">
        <x:v>1204</x:v>
      </x:c>
      <x:c r="J125" s="7" t="str">
        <x:f t="shared" si="2"/>
        <x:v>红绿加速</x:v>
      </x:c>
      <x:c r="K125" s="7" t="str">
        <x:f t="shared" si="3"/>
        <x:v>APPROVED</x:v>
      </x:c>
      <x:c r="L125" s="4" t="s">
        <x:v>1704</x:v>
      </x:c>
    </x:row>
    <x:row r="126" ht="22.5" customHeight="1">
      <x:c r="A126" s="4" t="s">
        <x:v>9</x:v>
      </x:c>
      <x:c r="B126" s="4" t="s">
        <x:v>1705</x:v>
      </x:c>
      <x:c r="C126" s="4"/>
      <x:c r="D126" s="4" t="s">
        <x:v>1706</x:v>
      </x:c>
      <x:c r="E126" s="4"/>
      <x:c r="F126" s="4" t="s">
        <x:v>1706</x:v>
      </x:c>
      <x:c r="G126" s="5" t="s">
        <x:v>1707</x:v>
      </x:c>
      <x:c r="H126" s="8" t="s">
        <x:v>1708</x:v>
      </x:c>
      <x:c r="I126" s="6" t="s">
        <x:v>1204</x:v>
      </x:c>
      <x:c r="J126" s="7" t="str">
        <x:f t="shared" si="2"/>
        <x:v>破墙快攻</x:v>
      </x:c>
      <x:c r="K126" s="7" t="str">
        <x:f t="shared" si="3"/>
        <x:v>APPROVED</x:v>
      </x:c>
      <x:c r="L126" s="4" t="s">
        <x:v>1709</x:v>
      </x:c>
    </x:row>
    <x:row r="127" ht="22.5" customHeight="1">
      <x:c r="A127" s="4" t="s">
        <x:v>9</x:v>
      </x:c>
      <x:c r="B127" s="4" t="s">
        <x:v>1710</x:v>
      </x:c>
      <x:c r="C127" s="4"/>
      <x:c r="D127" s="4" t="s">
        <x:v>1711</x:v>
      </x:c>
      <x:c r="E127" s="4"/>
      <x:c r="F127" s="4" t="s">
        <x:v>1711</x:v>
      </x:c>
      <x:c r="G127" s="5" t="s">
        <x:v>1712</x:v>
      </x:c>
      <x:c r="H127" s="8" t="s">
        <x:v>1712</x:v>
      </x:c>
      <x:c r="I127" s="6" t="s">
        <x:v>1204</x:v>
      </x:c>
      <x:c r="J127" s="7" t="str">
        <x:f t="shared" si="2"/>
        <x:v>纯红烧</x:v>
      </x:c>
      <x:c r="K127" s="7" t="str">
        <x:f t="shared" si="3"/>
        <x:v>APPROVED</x:v>
      </x:c>
      <x:c r="L127" s="4" t="s">
        <x:v>1713</x:v>
      </x:c>
    </x:row>
    <x:row r="128" ht="22.5" customHeight="1">
      <x:c r="A128" s="4" t="s">
        <x:v>15</x:v>
      </x:c>
      <x:c r="B128" s="4" t="s">
        <x:v>1714</x:v>
      </x:c>
      <x:c r="C128" s="4"/>
      <x:c r="D128" s="4" t="s">
        <x:v>1715</x:v>
      </x:c>
      <x:c r="E128" s="4"/>
      <x:c r="F128" s="4" t="s">
        <x:v>1715</x:v>
      </x:c>
      <x:c r="G128" s="5" t="s">
        <x:v>1716</x:v>
      </x:c>
      <x:c r="H128" s="8" t="s">
        <x:v>1717</x:v>
      </x:c>
      <x:c r="I128" s="6" t="s">
        <x:v>1204</x:v>
      </x:c>
      <x:c r="J128" s="7" t="str">
        <x:f t="shared" si="2"/>
        <x:v>纯蓝记忆</x:v>
      </x:c>
      <x:c r="K128" s="7" t="str">
        <x:f t="shared" si="3"/>
        <x:v>APPROVED</x:v>
      </x:c>
      <x:c r="L128" s="4" t="s">
        <x:v>1718</x:v>
      </x:c>
    </x:row>
    <x:row r="129" ht="22.5" customHeight="1">
      <x:c r="A129" s="4" t="s">
        <x:v>15</x:v>
      </x:c>
      <x:c r="B129" s="4" t="s">
        <x:v>1719</x:v>
      </x:c>
      <x:c r="C129" s="4"/>
      <x:c r="D129" s="4" t="s">
        <x:v>1720</x:v>
      </x:c>
      <x:c r="E129" s="4"/>
      <x:c r="F129" s="4" t="s">
        <x:v>1720</x:v>
      </x:c>
      <x:c r="G129" s="5" t="s">
        <x:v>1721</x:v>
      </x:c>
      <x:c r="H129" s="6" t="s">
        <x:v>1722</x:v>
      </x:c>
      <x:c r="I129" s="6" t="s">
        <x:v>1204</x:v>
      </x:c>
      <x:c r="J129" s="7" t="str">
        <x:f t="shared" si="2"/>
        <x:v>班特军伍</x:v>
      </x:c>
      <x:c r="K129" s="7" t="str">
        <x:f t="shared" si="3"/>
        <x:v>APPROVED</x:v>
      </x:c>
      <x:c r="L129" s="4" t="s">
        <x:v>1723</x:v>
      </x:c>
    </x:row>
    <x:row r="130" ht="22.5" customHeight="1">
      <x:c r="A130" s="4" t="s">
        <x:v>15</x:v>
      </x:c>
      <x:c r="B130" s="4" t="s">
        <x:v>1724</x:v>
      </x:c>
      <x:c r="C130" s="4"/>
      <x:c r="D130" s="4" t="s">
        <x:v>1725</x:v>
      </x:c>
      <x:c r="E130" s="4"/>
      <x:c r="F130" s="4" t="s">
        <x:v>1725</x:v>
      </x:c>
      <x:c r="G130" s="5" t="s">
        <x:v>1726</x:v>
      </x:c>
      <x:c r="H130" s="8" t="s">
        <x:v>1727</x:v>
      </x:c>
      <x:c r="I130" s="6" t="s">
        <x:v>1204</x:v>
      </x:c>
      <x:c r="J130" s="7" t="str">
        <x:f t="shared" si="2"/>
        <x:v>格利极传奇</x:v>
      </x:c>
      <x:c r="K130" s="7" t="str">
        <x:f t="shared" si="3"/>
        <x:v>APPROVED</x:v>
      </x:c>
      <x:c r="L130" s="4" t="s">
        <x:v>1728</x:v>
      </x:c>
    </x:row>
    <x:row r="131" ht="22.5" customHeight="1">
      <x:c r="A131" s="4" t="s">
        <x:v>15</x:v>
      </x:c>
      <x:c r="B131" s="4" t="s">
        <x:v>1729</x:v>
      </x:c>
      <x:c r="C131" s="4"/>
      <x:c r="D131" s="4" t="s">
        <x:v>1730</x:v>
      </x:c>
      <x:c r="E131" s="4"/>
      <x:c r="F131" s="4" t="s">
        <x:v>1730</x:v>
      </x:c>
      <x:c r="G131" s="5" t="s">
        <x:v>1731</x:v>
      </x:c>
      <x:c r="H131" s="6" t="s">
        <x:v>1732</x:v>
      </x:c>
      <x:c r="I131" s="6" t="s">
        <x:v>1204</x:v>
      </x:c>
      <x:c r="J131" s="7" t="str">
        <x:f t="shared" si="2"/>
        <x:v>祷言组合技</x:v>
      </x:c>
      <x:c r="K131" s="7" t="str">
        <x:f t="shared" si="3"/>
        <x:v>APPROVED</x:v>
      </x:c>
      <x:c r="L131" s="4" t="s">
        <x:v>1733</x:v>
      </x:c>
    </x:row>
    <x:row r="132" ht="22.5" customHeight="1">
      <x:c r="A132" s="4" t="s">
        <x:v>15</x:v>
      </x:c>
      <x:c r="B132" s="4" t="s">
        <x:v>1734</x:v>
      </x:c>
      <x:c r="C132" s="4"/>
      <x:c r="D132" s="4" t="s">
        <x:v>1735</x:v>
      </x:c>
      <x:c r="E132" s="4"/>
      <x:c r="F132" s="4" t="s">
        <x:v>1735</x:v>
      </x:c>
      <x:c r="G132" s="5" t="s">
        <x:v>1736</x:v>
      </x:c>
      <x:c r="H132" s="8" t="s">
        <x:v>1737</x:v>
      </x:c>
      <x:c r="I132" s="6" t="s">
        <x:v>1204</x:v>
      </x:c>
      <x:c r="J132" s="7" t="str">
        <x:f t="shared" si="2"/>
        <x:v>约哥能量</x:v>
      </x:c>
      <x:c r="K132" s="7" t="str">
        <x:f t="shared" si="3"/>
        <x:v>APPROVED</x:v>
      </x:c>
      <x:c r="L132" s="4" t="s">
        <x:v>1738</x:v>
      </x:c>
    </x:row>
    <x:row r="133" ht="22.5" customHeight="1">
      <x:c r="A133" s="4" t="s">
        <x:v>15</x:v>
      </x:c>
      <x:c r="B133" s="4" t="s">
        <x:v>1739</x:v>
      </x:c>
      <x:c r="C133" s="4"/>
      <x:c r="D133" s="4" t="s">
        <x:v>1740</x:v>
      </x:c>
      <x:c r="E133" s="4"/>
      <x:c r="F133" s="4" t="s">
        <x:v>1740</x:v>
      </x:c>
      <x:c r="G133" s="5" t="s">
        <x:v>1741</x:v>
      </x:c>
      <x:c r="H133" s="8" t="s">
        <x:v>1741</x:v>
      </x:c>
      <x:c r="I133" s="6" t="s">
        <x:v>1204</x:v>
      </x:c>
      <x:c r="J133" s="7" t="str">
        <x:f t="shared" ref="J133:J196" si="4">IF(H133&lt;&gt;"",H133,G133)</x:f>
        <x:v>玛尔都能量</x:v>
      </x:c>
      <x:c r="K133" s="7" t="str">
        <x:f t="shared" ref="K133:K196" si="5">IF(I133="APPROVED","APPROVED",IF(I133="REVISE","REVISION REQUESTED","NEEDS OWNER REVIEW"))</x:f>
        <x:v>APPROVED</x:v>
      </x:c>
      <x:c r="L133" s="4" t="s">
        <x:v>1742</x:v>
      </x:c>
    </x:row>
    <x:row r="134" ht="22.5" customHeight="1">
      <x:c r="A134" s="4" t="s">
        <x:v>15</x:v>
      </x:c>
      <x:c r="B134" s="4" t="s">
        <x:v>1743</x:v>
      </x:c>
      <x:c r="C134" s="4"/>
      <x:c r="D134" s="4" t="s">
        <x:v>1744</x:v>
      </x:c>
      <x:c r="E134" s="4"/>
      <x:c r="F134" s="4" t="s">
        <x:v>1744</x:v>
      </x:c>
      <x:c r="G134" s="5" t="s">
        <x:v>1745</x:v>
      </x:c>
      <x:c r="H134" s="8" t="s">
        <x:v>1746</x:v>
      </x:c>
      <x:c r="I134" s="6" t="s">
        <x:v>1204</x:v>
      </x:c>
      <x:c r="J134" s="7" t="str">
        <x:f t="shared" si="4"/>
        <x:v>玛尔都精瓶</x:v>
      </x:c>
      <x:c r="K134" s="7" t="str">
        <x:f t="shared" si="5"/>
        <x:v>APPROVED</x:v>
      </x:c>
      <x:c r="L134" s="4" t="s">
        <x:v>1747</x:v>
      </x:c>
    </x:row>
    <x:row r="135" ht="22.5" customHeight="1">
      <x:c r="A135" s="4" t="s">
        <x:v>15</x:v>
      </x:c>
      <x:c r="B135" s="4" t="s">
        <x:v>315</x:v>
      </x:c>
      <x:c r="C135" s="4"/>
      <x:c r="D135" s="4" t="s">
        <x:v>150</x:v>
      </x:c>
      <x:c r="E135" s="4"/>
      <x:c r="F135" s="4" t="s">
        <x:v>150</x:v>
      </x:c>
      <x:c r="G135" s="5" t="s">
        <x:v>1581</x:v>
      </x:c>
      <x:c r="H135" s="8" t="s">
        <x:v>1581</x:v>
      </x:c>
      <x:c r="I135" s="6" t="s">
        <x:v>1204</x:v>
      </x:c>
      <x:c r="J135" s="7" t="str">
        <x:f t="shared" si="4"/>
        <x:v>五色人类</x:v>
      </x:c>
      <x:c r="K135" s="7" t="str">
        <x:f t="shared" si="5"/>
        <x:v>APPROVED</x:v>
      </x:c>
      <x:c r="L135" s="4" t="s">
        <x:v>1748</x:v>
      </x:c>
    </x:row>
    <x:row r="136" ht="22.5" customHeight="1">
      <x:c r="A136" s="4" t="s">
        <x:v>15</x:v>
      </x:c>
      <x:c r="B136" s="4" t="s">
        <x:v>1749</x:v>
      </x:c>
      <x:c r="C136" s="4"/>
      <x:c r="D136" s="4" t="s">
        <x:v>1750</x:v>
      </x:c>
      <x:c r="E136" s="4"/>
      <x:c r="F136" s="4" t="s">
        <x:v>1750</x:v>
      </x:c>
      <x:c r="G136" s="5" t="s">
        <x:v>1751</x:v>
      </x:c>
      <x:c r="H136" s="8" t="s">
        <x:v>1750</x:v>
      </x:c>
      <x:c r="I136" s="6" t="s">
        <x:v>1204</x:v>
      </x:c>
      <x:c r="J136" s="7" t="str">
        <x:f t="shared" si="4"/>
        <x:v>Cheerios</x:v>
      </x:c>
      <x:c r="K136" s="7" t="str">
        <x:f t="shared" si="5"/>
        <x:v>APPROVED</x:v>
      </x:c>
      <x:c r="L136" s="4" t="s">
        <x:v>1752</x:v>
      </x:c>
    </x:row>
    <x:row r="137" ht="22.5" customHeight="1">
      <x:c r="A137" s="4" t="s">
        <x:v>15</x:v>
      </x:c>
      <x:c r="B137" s="4" t="s">
        <x:v>1753</x:v>
      </x:c>
      <x:c r="C137" s="4"/>
      <x:c r="D137" s="4" t="s">
        <x:v>1754</x:v>
      </x:c>
      <x:c r="E137" s="4"/>
      <x:c r="F137" s="4" t="s">
        <x:v>1754</x:v>
      </x:c>
      <x:c r="G137" s="5" t="s">
        <x:v>1755</x:v>
      </x:c>
      <x:c r="H137" s="6" t="s">
        <x:v>1756</x:v>
      </x:c>
      <x:c r="I137" s="6" t="s">
        <x:v>1204</x:v>
      </x:c>
      <x:c r="J137" s="7" t="str">
        <x:f t="shared" si="4"/>
        <x:v>肃然云移</x:v>
      </x:c>
      <x:c r="K137" s="7" t="str">
        <x:f t="shared" si="5"/>
        <x:v>APPROVED</x:v>
      </x:c>
      <x:c r="L137" s="4" t="s">
        <x:v>1757</x:v>
      </x:c>
    </x:row>
    <x:row r="138" ht="22.5" customHeight="1">
      <x:c r="A138" s="4" t="s">
        <x:v>15</x:v>
      </x:c>
      <x:c r="B138" s="4" t="s">
        <x:v>1758</x:v>
      </x:c>
      <x:c r="C138" s="4"/>
      <x:c r="D138" s="4" t="s">
        <x:v>1759</x:v>
      </x:c>
      <x:c r="E138" s="4"/>
      <x:c r="F138" s="4" t="s">
        <x:v>1759</x:v>
      </x:c>
      <x:c r="G138" s="5" t="s">
        <x:v>1760</x:v>
      </x:c>
      <x:c r="H138" s="8" t="s">
        <x:v>1761</x:v>
      </x:c>
      <x:c r="I138" s="6" t="s">
        <x:v>1204</x:v>
      </x:c>
      <x:c r="J138" s="7" t="str">
        <x:f t="shared" si="4"/>
        <x:v>重塑型体</x:v>
      </x:c>
      <x:c r="K138" s="7" t="str">
        <x:f t="shared" si="5"/>
        <x:v>APPROVED</x:v>
      </x:c>
      <x:c r="L138" s="4" t="s">
        <x:v>1762</x:v>
      </x:c>
    </x:row>
    <x:row r="139" ht="22.5" customHeight="1">
      <x:c r="A139" s="4" t="s">
        <x:v>15</x:v>
      </x:c>
      <x:c r="B139" s="4" t="s">
        <x:v>1763</x:v>
      </x:c>
      <x:c r="C139" s="4"/>
      <x:c r="D139" s="4" t="s">
        <x:v>1764</x:v>
      </x:c>
      <x:c r="E139" s="4"/>
      <x:c r="F139" s="4" t="s">
        <x:v>1764</x:v>
      </x:c>
      <x:c r="G139" s="5" t="s">
        <x:v>1765</x:v>
      </x:c>
      <x:c r="H139" s="6" t="s">
        <x:v>1766</x:v>
      </x:c>
      <x:c r="I139" s="6" t="s">
        <x:v>1204</x:v>
      </x:c>
      <x:c r="J139" s="7" t="str">
        <x:f t="shared" si="4"/>
        <x:v>蓝黑出土</x:v>
      </x:c>
      <x:c r="K139" s="7" t="str">
        <x:f t="shared" si="5"/>
        <x:v>APPROVED</x:v>
      </x:c>
      <x:c r="L139" s="4" t="s">
        <x:v>1767</x:v>
      </x:c>
    </x:row>
    <x:row r="140" ht="22.5" customHeight="1">
      <x:c r="A140" s="9" t="s">
        <x:v>15</x:v>
      </x:c>
      <x:c r="B140" s="9" t="s">
        <x:v>1768</x:v>
      </x:c>
      <x:c r="C140" s="9"/>
      <x:c r="D140" s="9" t="s">
        <x:v>1769</x:v>
      </x:c>
      <x:c r="E140" s="9"/>
      <x:c r="F140" s="9" t="s">
        <x:v>1769</x:v>
      </x:c>
      <x:c r="G140" s="10" t="s">
        <x:v>1770</x:v>
      </x:c>
      <x:c r="H140" s="11" t="s">
        <x:v>1770</x:v>
      </x:c>
      <x:c r="I140" s="11" t="s">
        <x:v>1204</x:v>
      </x:c>
      <x:c r="J140" s="12" t="str">
        <x:f t="shared" si="4"/>
        <x:v>锻炉剑</x:v>
      </x:c>
      <x:c r="K140" s="12" t="str">
        <x:f t="shared" si="5"/>
        <x:v>APPROVED</x:v>
      </x:c>
      <x:c r="L140" s="13" t="s">
        <x:v>1771</x:v>
      </x:c>
    </x:row>
    <x:row r="141" ht="22.5" customHeight="1">
      <x:c r="A141" s="4" t="s">
        <x:v>15</x:v>
      </x:c>
      <x:c r="B141" s="4" t="s">
        <x:v>1768</x:v>
      </x:c>
      <x:c r="C141" s="4" t="s">
        <x:v>1559</x:v>
      </x:c>
      <x:c r="D141" s="4" t="s">
        <x:v>1769</x:v>
      </x:c>
      <x:c r="E141" s="4" t="s">
        <x:v>1560</x:v>
      </x:c>
      <x:c r="F141" s="4" t="s">
        <x:v>1772</x:v>
      </x:c>
      <x:c r="G141" s="5" t="s">
        <x:v>1773</x:v>
      </x:c>
      <x:c r="H141" s="6" t="s">
        <x:v>1774</x:v>
      </x:c>
      <x:c r="I141" s="6" t="s">
        <x:v>1204</x:v>
      </x:c>
      <x:c r="J141" s="7" t="str">
        <x:f t="shared" si="4"/>
        <x:v>班特锻炉剑</x:v>
      </x:c>
      <x:c r="K141" s="7" t="str">
        <x:f t="shared" si="5"/>
        <x:v>APPROVED</x:v>
      </x:c>
      <x:c r="L141" s="4" t="s">
        <x:v>1775</x:v>
      </x:c>
    </x:row>
    <x:row r="142" ht="22.5" customHeight="1">
      <x:c r="A142" s="4" t="s">
        <x:v>15</x:v>
      </x:c>
      <x:c r="B142" s="4" t="s">
        <x:v>1776</x:v>
      </x:c>
      <x:c r="C142" s="4"/>
      <x:c r="D142" s="4" t="s">
        <x:v>1777</x:v>
      </x:c>
      <x:c r="E142" s="4"/>
      <x:c r="F142" s="4" t="s">
        <x:v>1777</x:v>
      </x:c>
      <x:c r="G142" s="5" t="s">
        <x:v>1778</x:v>
      </x:c>
      <x:c r="H142" s="6" t="s">
        <x:v>1778</x:v>
      </x:c>
      <x:c r="I142" s="6" t="s">
        <x:v>1204</x:v>
      </x:c>
      <x:c r="J142" s="7" t="str">
        <x:f t="shared" si="4"/>
        <x:v>蓝白奇迹</x:v>
      </x:c>
      <x:c r="K142" s="7" t="str">
        <x:f t="shared" si="5"/>
        <x:v>APPROVED</x:v>
      </x:c>
      <x:c r="L142" s="4" t="s">
        <x:v>1779</x:v>
      </x:c>
    </x:row>
    <x:row r="143" ht="22.5" customHeight="1">
      <x:c r="A143" s="4" t="s">
        <x:v>15</x:v>
      </x:c>
      <x:c r="B143" s="4" t="s">
        <x:v>1780</x:v>
      </x:c>
      <x:c r="C143" s="4"/>
      <x:c r="D143" s="4" t="s">
        <x:v>1781</x:v>
      </x:c>
      <x:c r="E143" s="4"/>
      <x:c r="F143" s="4" t="s">
        <x:v>1781</x:v>
      </x:c>
      <x:c r="G143" s="5" t="s">
        <x:v>1782</x:v>
      </x:c>
      <x:c r="H143" s="8" t="s">
        <x:v>1783</x:v>
      </x:c>
      <x:c r="I143" s="6" t="s">
        <x:v>1204</x:v>
      </x:c>
      <x:c r="J143" s="7" t="str">
        <x:f t="shared" si="4"/>
        <x:v>蓝黑怨灵</x:v>
      </x:c>
      <x:c r="K143" s="7" t="str">
        <x:f t="shared" si="5"/>
        <x:v>APPROVED</x:v>
      </x:c>
      <x:c r="L143" s="4" t="s">
        <x:v>1784</x:v>
      </x:c>
    </x:row>
    <x:row r="144" ht="22.5" customHeight="1">
      <x:c r="A144" s="4" t="s">
        <x:v>15</x:v>
      </x:c>
      <x:c r="B144" s="4" t="s">
        <x:v>1785</x:v>
      </x:c>
      <x:c r="C144" s="4"/>
      <x:c r="D144" s="4" t="s">
        <x:v>1786</x:v>
      </x:c>
      <x:c r="E144" s="4"/>
      <x:c r="F144" s="4" t="s">
        <x:v>1786</x:v>
      </x:c>
      <x:c r="G144" s="5" t="s">
        <x:v>1787</x:v>
      </x:c>
      <x:c r="H144" s="6" t="s">
        <x:v>1788</x:v>
      </x:c>
      <x:c r="I144" s="6" t="s">
        <x:v>1204</x:v>
      </x:c>
      <x:c r="J144" s="7" t="str">
        <x:f t="shared" si="4"/>
        <x:v>领土留存</x:v>
      </x:c>
      <x:c r="K144" s="7" t="str">
        <x:f t="shared" si="5"/>
        <x:v>APPROVED</x:v>
      </x:c>
      <x:c r="L144" s="4" t="s">
        <x:v>1789</x:v>
      </x:c>
    </x:row>
    <x:row r="145" ht="22.5" customHeight="1">
      <x:c r="A145" s="4" t="s">
        <x:v>15</x:v>
      </x:c>
      <x:c r="B145" s="4" t="s">
        <x:v>1790</x:v>
      </x:c>
      <x:c r="C145" s="4"/>
      <x:c r="D145" s="4" t="s">
        <x:v>1791</x:v>
      </x:c>
      <x:c r="E145" s="4"/>
      <x:c r="F145" s="4" t="s">
        <x:v>1791</x:v>
      </x:c>
      <x:c r="G145" s="5" t="s">
        <x:v>1792</x:v>
      </x:c>
      <x:c r="H145" s="6" t="s">
        <x:v>1792</x:v>
      </x:c>
      <x:c r="I145" s="6" t="s">
        <x:v>1204</x:v>
      </x:c>
      <x:c r="J145" s="7" t="str">
        <x:f t="shared" si="4"/>
        <x:v>蓝黑留存</x:v>
      </x:c>
      <x:c r="K145" s="7" t="str">
        <x:f t="shared" si="5"/>
        <x:v>APPROVED</x:v>
      </x:c>
      <x:c r="L145" s="4" t="s">
        <x:v>1793</x:v>
      </x:c>
    </x:row>
    <x:row r="146" ht="22.5" customHeight="1">
      <x:c r="A146" s="4" t="s">
        <x:v>15</x:v>
      </x:c>
      <x:c r="B146" s="4" t="s">
        <x:v>1794</x:v>
      </x:c>
      <x:c r="C146" s="4"/>
      <x:c r="D146" s="4" t="s">
        <x:v>1795</x:v>
      </x:c>
      <x:c r="E146" s="4"/>
      <x:c r="F146" s="4" t="s">
        <x:v>1795</x:v>
      </x:c>
      <x:c r="G146" s="5" t="s">
        <x:v>1796</x:v>
      </x:c>
      <x:c r="H146" s="8" t="s">
        <x:v>1797</x:v>
      </x:c>
      <x:c r="I146" s="6" t="s">
        <x:v>1204</x:v>
      </x:c>
      <x:c r="J146" s="7" t="str">
        <x:f t="shared" si="4"/>
        <x:v>红蓝节奏</x:v>
      </x:c>
      <x:c r="K146" s="7" t="str">
        <x:f t="shared" si="5"/>
        <x:v>APPROVED</x:v>
      </x:c>
      <x:c r="L146" s="4" t="s">
        <x:v>1798</x:v>
      </x:c>
    </x:row>
    <x:row r="147" ht="22.5" customHeight="1">
      <x:c r="A147" s="4" t="s">
        <x:v>15</x:v>
      </x:c>
      <x:c r="B147" s="4" t="s">
        <x:v>1799</x:v>
      </x:c>
      <x:c r="C147" s="4"/>
      <x:c r="D147" s="4" t="s">
        <x:v>1800</x:v>
      </x:c>
      <x:c r="E147" s="4"/>
      <x:c r="F147" s="4" t="s">
        <x:v>1800</x:v>
      </x:c>
      <x:c r="G147" s="5" t="s">
        <x:v>1801</x:v>
      </x:c>
      <x:c r="H147" s="6" t="s">
        <x:v>1801</x:v>
      </x:c>
      <x:c r="I147" s="6" t="s">
        <x:v>1204</x:v>
      </x:c>
      <x:c r="J147" s="7" t="str">
        <x:f t="shared" si="4"/>
        <x:v>苏勒台节奏</x:v>
      </x:c>
      <x:c r="K147" s="7" t="str">
        <x:f t="shared" si="5"/>
        <x:v>APPROVED</x:v>
      </x:c>
      <x:c r="L147" s="4" t="s">
        <x:v>1802</x:v>
      </x:c>
    </x:row>
    <x:row r="148" ht="22.5" customHeight="1">
      <x:c r="A148" s="4" t="s">
        <x:v>15</x:v>
      </x:c>
      <x:c r="B148" s="4" t="s">
        <x:v>1803</x:v>
      </x:c>
      <x:c r="C148" s="4"/>
      <x:c r="D148" s="4" t="s">
        <x:v>1804</x:v>
      </x:c>
      <x:c r="E148" s="4"/>
      <x:c r="F148" s="4" t="s">
        <x:v>1804</x:v>
      </x:c>
      <x:c r="G148" s="5" t="s">
        <x:v>1805</x:v>
      </x:c>
      <x:c r="H148" s="6" t="s">
        <x:v>1806</x:v>
      </x:c>
      <x:c r="I148" s="6" t="s">
        <x:v>1204</x:v>
      </x:c>
      <x:c r="J148" s="7" t="str">
        <x:f t="shared" si="4"/>
        <x:v>苏勒台云移</x:v>
      </x:c>
      <x:c r="K148" s="7" t="str">
        <x:f t="shared" si="5"/>
        <x:v>APPROVED</x:v>
      </x:c>
      <x:c r="L148" s="4" t="s">
        <x:v>1807</x:v>
      </x:c>
    </x:row>
    <x:row r="149" ht="22.5" customHeight="1">
      <x:c r="A149" s="4" t="s">
        <x:v>15</x:v>
      </x:c>
      <x:c r="B149" s="4" t="s">
        <x:v>1808</x:v>
      </x:c>
      <x:c r="C149" s="4"/>
      <x:c r="D149" s="4" t="s">
        <x:v>1809</x:v>
      </x:c>
      <x:c r="E149" s="4"/>
      <x:c r="F149" s="4" t="s">
        <x:v>1809</x:v>
      </x:c>
      <x:c r="G149" s="5" t="s">
        <x:v>1810</x:v>
      </x:c>
      <x:c r="H149" s="8" t="s">
        <x:v>1811</x:v>
      </x:c>
      <x:c r="I149" s="6" t="s">
        <x:v>1204</x:v>
      </x:c>
      <x:c r="J149" s="7" t="str">
        <x:f t="shared" si="4"/>
        <x:v>领土云移</x:v>
      </x:c>
      <x:c r="K149" s="7" t="str">
        <x:f t="shared" si="5"/>
        <x:v>APPROVED</x:v>
      </x:c>
      <x:c r="L149" s="4" t="s">
        <x:v>1812</x:v>
      </x:c>
    </x:row>
    <x:row r="150" ht="22.5" customHeight="1">
      <x:c r="A150" s="4" t="s">
        <x:v>15</x:v>
      </x:c>
      <x:c r="B150" s="4" t="s">
        <x:v>1813</x:v>
      </x:c>
      <x:c r="C150" s="4"/>
      <x:c r="D150" s="4" t="s">
        <x:v>1814</x:v>
      </x:c>
      <x:c r="E150" s="4"/>
      <x:c r="F150" s="4" t="s">
        <x:v>1814</x:v>
      </x:c>
      <x:c r="G150" s="5" t="s">
        <x:v>1815</x:v>
      </x:c>
      <x:c r="H150" s="6" t="s">
        <x:v>1815</x:v>
      </x:c>
      <x:c r="I150" s="6" t="s">
        <x:v>1204</x:v>
      </x:c>
      <x:c r="J150" s="7" t="str">
        <x:f t="shared" si="4"/>
        <x:v>勇得鬼怪</x:v>
      </x:c>
      <x:c r="K150" s="7" t="str">
        <x:f t="shared" si="5"/>
        <x:v>APPROVED</x:v>
      </x:c>
      <x:c r="L150" s="4" t="s">
        <x:v>1816</x:v>
      </x:c>
    </x:row>
    <x:row r="151" ht="22.5" customHeight="1">
      <x:c r="A151" s="4" t="s">
        <x:v>15</x:v>
      </x:c>
      <x:c r="B151" s="4" t="s">
        <x:v>1817</x:v>
      </x:c>
      <x:c r="C151" s="4"/>
      <x:c r="D151" s="4" t="s">
        <x:v>1818</x:v>
      </x:c>
      <x:c r="E151" s="4"/>
      <x:c r="F151" s="4" t="s">
        <x:v>1818</x:v>
      </x:c>
      <x:c r="G151" s="5" t="s">
        <x:v>1819</x:v>
      </x:c>
      <x:c r="H151" s="6" t="s">
        <x:v>1820</x:v>
      </x:c>
      <x:c r="I151" s="6" t="s">
        <x:v>1204</x:v>
      </x:c>
      <x:c r="J151" s="7" t="str">
        <x:f t="shared" si="4"/>
        <x:v>瞥视明日</x:v>
      </x:c>
      <x:c r="K151" s="7" t="str">
        <x:f t="shared" si="5"/>
        <x:v>APPROVED</x:v>
      </x:c>
      <x:c r="L151" s="4" t="s">
        <x:v>1821</x:v>
      </x:c>
    </x:row>
    <x:row r="152" ht="22.5" customHeight="1">
      <x:c r="A152" s="4" t="s">
        <x:v>15</x:v>
      </x:c>
      <x:c r="B152" s="4" t="s">
        <x:v>1822</x:v>
      </x:c>
      <x:c r="C152" s="4"/>
      <x:c r="D152" s="4" t="s">
        <x:v>1823</x:v>
      </x:c>
      <x:c r="E152" s="4"/>
      <x:c r="F152" s="4" t="s">
        <x:v>1823</x:v>
      </x:c>
      <x:c r="G152" s="5" t="s">
        <x:v>1824</x:v>
      </x:c>
      <x:c r="H152" s="6" t="s">
        <x:v>1824</x:v>
      </x:c>
      <x:c r="I152" s="6" t="s">
        <x:v>1204</x:v>
      </x:c>
      <x:c r="J152" s="7" t="str">
        <x:f t="shared" si="4"/>
        <x:v>纳雅中速</x:v>
      </x:c>
      <x:c r="K152" s="7" t="str">
        <x:f t="shared" si="5"/>
        <x:v>APPROVED</x:v>
      </x:c>
      <x:c r="L152" s="4" t="s">
        <x:v>1825</x:v>
      </x:c>
    </x:row>
    <x:row r="153" ht="22.5" customHeight="1">
      <x:c r="A153" s="4" t="s">
        <x:v>15</x:v>
      </x:c>
      <x:c r="B153" s="4" t="s">
        <x:v>1826</x:v>
      </x:c>
      <x:c r="C153" s="4"/>
      <x:c r="D153" s="4" t="s">
        <x:v>1827</x:v>
      </x:c>
      <x:c r="E153" s="4"/>
      <x:c r="F153" s="4" t="s">
        <x:v>1827</x:v>
      </x:c>
      <x:c r="G153" s="5" t="s">
        <x:v>1828</x:v>
      </x:c>
      <x:c r="H153" s="6" t="s">
        <x:v>1829</x:v>
      </x:c>
      <x:c r="I153" s="6" t="s">
        <x:v>1204</x:v>
      </x:c>
      <x:c r="J153" s="7" t="str">
        <x:f t="shared" si="4"/>
        <x:v>红蓝额外回合</x:v>
      </x:c>
      <x:c r="K153" s="7" t="str">
        <x:f t="shared" si="5"/>
        <x:v>APPROVED</x:v>
      </x:c>
      <x:c r="L153" s="4" t="s">
        <x:v>1830</x:v>
      </x:c>
    </x:row>
    <x:row r="154" ht="22.5" customHeight="1">
      <x:c r="A154" s="4" t="s">
        <x:v>15</x:v>
      </x:c>
      <x:c r="B154" s="4" t="s">
        <x:v>1831</x:v>
      </x:c>
      <x:c r="C154" s="4"/>
      <x:c r="D154" s="4" t="s">
        <x:v>1832</x:v>
      </x:c>
      <x:c r="E154" s="4"/>
      <x:c r="F154" s="4" t="s">
        <x:v>1832</x:v>
      </x:c>
      <x:c r="G154" s="5" t="s">
        <x:v>1833</x:v>
      </x:c>
      <x:c r="H154" s="6" t="s">
        <x:v>1834</x:v>
      </x:c>
      <x:c r="I154" s="6" t="s">
        <x:v>1204</x:v>
      </x:c>
      <x:c r="J154" s="7" t="str">
        <x:f t="shared" si="4"/>
        <x:v>红蓝大锅</x:v>
      </x:c>
      <x:c r="K154" s="7" t="str">
        <x:f t="shared" si="5"/>
        <x:v>APPROVED</x:v>
      </x:c>
      <x:c r="L154" s="4" t="s">
        <x:v>1835</x:v>
      </x:c>
    </x:row>
    <x:row r="155" ht="22.5" customHeight="1">
      <x:c r="A155" s="4" t="s">
        <x:v>15</x:v>
      </x:c>
      <x:c r="B155" s="4" t="s">
        <x:v>1836</x:v>
      </x:c>
      <x:c r="C155" s="4"/>
      <x:c r="D155" s="4" t="s">
        <x:v>1837</x:v>
      </x:c>
      <x:c r="E155" s="4"/>
      <x:c r="F155" s="4" t="s">
        <x:v>1837</x:v>
      </x:c>
      <x:c r="G155" s="5" t="s">
        <x:v>1838</x:v>
      </x:c>
      <x:c r="H155" s="6" t="s">
        <x:v>1838</x:v>
      </x:c>
      <x:c r="I155" s="6" t="s">
        <x:v>1204</x:v>
      </x:c>
      <x:c r="J155" s="7" t="str">
        <x:f t="shared" si="4"/>
        <x:v>红黑躁狂</x:v>
      </x:c>
      <x:c r="K155" s="7" t="str">
        <x:f t="shared" si="5"/>
        <x:v>APPROVED</x:v>
      </x:c>
      <x:c r="L155" s="4" t="s">
        <x:v>1839</x:v>
      </x:c>
    </x:row>
    <x:row r="156" ht="22.5" customHeight="1">
      <x:c r="A156" s="4" t="s">
        <x:v>15</x:v>
      </x:c>
      <x:c r="B156" s="4" t="s">
        <x:v>1840</x:v>
      </x:c>
      <x:c r="C156" s="4"/>
      <x:c r="D156" s="4" t="s">
        <x:v>1841</x:v>
      </x:c>
      <x:c r="E156" s="4"/>
      <x:c r="F156" s="4" t="s">
        <x:v>1841</x:v>
      </x:c>
      <x:c r="G156" s="5" t="s">
        <x:v>1842</x:v>
      </x:c>
      <x:c r="H156" s="6" t="s">
        <x:v>1842</x:v>
      </x:c>
      <x:c r="I156" s="6" t="s">
        <x:v>1204</x:v>
      </x:c>
      <x:c r="J156" s="7" t="str">
        <x:f t="shared" si="4"/>
        <x:v>红黑中速</x:v>
      </x:c>
      <x:c r="K156" s="7" t="str">
        <x:f t="shared" si="5"/>
        <x:v>APPROVED</x:v>
      </x:c>
      <x:c r="L156" s="4" t="s">
        <x:v>1843</x:v>
      </x:c>
    </x:row>
    <x:row r="157" ht="22.5" customHeight="1">
      <x:c r="A157" s="4" t="s">
        <x:v>15</x:v>
      </x:c>
      <x:c r="B157" s="4" t="s">
        <x:v>1844</x:v>
      </x:c>
      <x:c r="C157" s="4"/>
      <x:c r="D157" s="4" t="s">
        <x:v>1845</x:v>
      </x:c>
      <x:c r="E157" s="4"/>
      <x:c r="F157" s="4" t="s">
        <x:v>1845</x:v>
      </x:c>
      <x:c r="G157" s="5" t="s">
        <x:v>1846</x:v>
      </x:c>
      <x:c r="H157" s="6" t="s">
        <x:v>1846</x:v>
      </x:c>
      <x:c r="I157" s="6" t="s">
        <x:v>1204</x:v>
      </x:c>
      <x:c r="J157" s="7" t="str">
        <x:f t="shared" si="4"/>
        <x:v>红黑快攻</x:v>
      </x:c>
      <x:c r="K157" s="7" t="str">
        <x:f t="shared" si="5"/>
        <x:v>APPROVED</x:v>
      </x:c>
      <x:c r="L157" s="4" t="s">
        <x:v>1847</x:v>
      </x:c>
    </x:row>
    <x:row r="158" ht="22.5" customHeight="1">
      <x:c r="A158" s="4" t="s">
        <x:v>15</x:v>
      </x:c>
      <x:c r="B158" s="4" t="s">
        <x:v>367</x:v>
      </x:c>
      <x:c r="C158" s="4"/>
      <x:c r="D158" s="4" t="s">
        <x:v>188</x:v>
      </x:c>
      <x:c r="E158" s="4"/>
      <x:c r="F158" s="4" t="s">
        <x:v>188</x:v>
      </x:c>
      <x:c r="G158" s="5" t="s">
        <x:v>1848</x:v>
      </x:c>
      <x:c r="H158" s="6" t="s">
        <x:v>1848</x:v>
      </x:c>
      <x:c r="I158" s="6" t="s">
        <x:v>1204</x:v>
      </x:c>
      <x:c r="J158" s="7" t="str">
        <x:f t="shared" si="4"/>
        <x:v>红白能量</x:v>
      </x:c>
      <x:c r="K158" s="7" t="str">
        <x:f t="shared" si="5"/>
        <x:v>APPROVED</x:v>
      </x:c>
      <x:c r="L158" s="4" t="s">
        <x:v>368</x:v>
      </x:c>
    </x:row>
    <x:row r="159" ht="22.5" customHeight="1">
      <x:c r="A159" s="4" t="s">
        <x:v>15</x:v>
      </x:c>
      <x:c r="B159" s="4" t="s">
        <x:v>360</x:v>
      </x:c>
      <x:c r="C159" s="4"/>
      <x:c r="D159" s="4" t="s">
        <x:v>181</x:v>
      </x:c>
      <x:c r="E159" s="4"/>
      <x:c r="F159" s="4" t="s">
        <x:v>181</x:v>
      </x:c>
      <x:c r="G159" s="5" t="s">
        <x:v>1849</x:v>
      </x:c>
      <x:c r="H159" s="8" t="s">
        <x:v>1849</x:v>
      </x:c>
      <x:c r="I159" s="6" t="s">
        <x:v>1204</x:v>
      </x:c>
      <x:c r="J159" s="7" t="str">
        <x:f t="shared" si="4"/>
        <x:v>洁斯凯能量</x:v>
      </x:c>
      <x:c r="K159" s="7" t="str">
        <x:f t="shared" si="5"/>
        <x:v>APPROVED</x:v>
      </x:c>
      <x:c r="L159" s="4" t="s">
        <x:v>361</x:v>
      </x:c>
    </x:row>
    <x:row r="160" ht="22.5" customHeight="1">
      <x:c r="A160" s="4" t="s">
        <x:v>15</x:v>
      </x:c>
      <x:c r="B160" s="4" t="s">
        <x:v>1850</x:v>
      </x:c>
      <x:c r="C160" s="4"/>
      <x:c r="D160" s="4" t="s">
        <x:v>1851</x:v>
      </x:c>
      <x:c r="E160" s="4"/>
      <x:c r="F160" s="4" t="s">
        <x:v>1851</x:v>
      </x:c>
      <x:c r="G160" s="5" t="s">
        <x:v>1852</x:v>
      </x:c>
      <x:c r="H160" s="6" t="s">
        <x:v>1852</x:v>
      </x:c>
      <x:c r="I160" s="6" t="s">
        <x:v>1204</x:v>
      </x:c>
      <x:c r="J160" s="7" t="str">
        <x:f t="shared" si="4"/>
        <x:v>蓝白能量</x:v>
      </x:c>
      <x:c r="K160" s="7" t="str">
        <x:f t="shared" si="5"/>
        <x:v>APPROVED</x:v>
      </x:c>
      <x:c r="L160" s="4" t="s">
        <x:v>1853</x:v>
      </x:c>
    </x:row>
    <x:row r="161" ht="22.5" customHeight="1">
      <x:c r="A161" s="4" t="s">
        <x:v>15</x:v>
      </x:c>
      <x:c r="B161" s="4" t="s">
        <x:v>1854</x:v>
      </x:c>
      <x:c r="C161" s="4"/>
      <x:c r="D161" s="4" t="s">
        <x:v>1855</x:v>
      </x:c>
      <x:c r="E161" s="4"/>
      <x:c r="F161" s="4" t="s">
        <x:v>1855</x:v>
      </x:c>
      <x:c r="G161" s="5" t="s">
        <x:v>1856</x:v>
      </x:c>
      <x:c r="H161" s="8" t="s">
        <x:v>1857</x:v>
      </x:c>
      <x:c r="I161" s="6" t="s">
        <x:v>1204</x:v>
      </x:c>
      <x:c r="J161" s="7" t="str">
        <x:f t="shared" si="4"/>
        <x:v>白绿能量</x:v>
      </x:c>
      <x:c r="K161" s="7" t="str">
        <x:f t="shared" si="5"/>
        <x:v>APPROVED</x:v>
      </x:c>
      <x:c r="L161" s="4" t="s">
        <x:v>1858</x:v>
      </x:c>
    </x:row>
    <x:row r="162" ht="22.5" customHeight="1">
      <x:c r="A162" s="4" t="s">
        <x:v>15</x:v>
      </x:c>
      <x:c r="B162" s="4" t="s">
        <x:v>1859</x:v>
      </x:c>
      <x:c r="C162" s="4"/>
      <x:c r="D162" s="4" t="s">
        <x:v>1860</x:v>
      </x:c>
      <x:c r="E162" s="4"/>
      <x:c r="F162" s="4" t="s">
        <x:v>1860</x:v>
      </x:c>
      <x:c r="G162" s="5" t="s">
        <x:v>1861</x:v>
      </x:c>
      <x:c r="H162" s="8" t="s">
        <x:v>1861</x:v>
      </x:c>
      <x:c r="I162" s="6" t="s">
        <x:v>1204</x:v>
      </x:c>
      <x:c r="J162" s="7" t="str">
        <x:f t="shared" si="4"/>
        <x:v>艾斯波能量</x:v>
      </x:c>
      <x:c r="K162" s="7" t="str">
        <x:f t="shared" si="5"/>
        <x:v>APPROVED</x:v>
      </x:c>
      <x:c r="L162" s="4" t="s">
        <x:v>1862</x:v>
      </x:c>
    </x:row>
    <x:row r="163" ht="22.5" customHeight="1">
      <x:c r="A163" s="4" t="s">
        <x:v>15</x:v>
      </x:c>
      <x:c r="B163" s="4" t="s">
        <x:v>1863</x:v>
      </x:c>
      <x:c r="C163" s="4"/>
      <x:c r="D163" s="4" t="s">
        <x:v>1864</x:v>
      </x:c>
      <x:c r="E163" s="4"/>
      <x:c r="F163" s="4" t="s">
        <x:v>1864</x:v>
      </x:c>
      <x:c r="G163" s="5" t="s">
        <x:v>1865</x:v>
      </x:c>
      <x:c r="H163" s="8" t="s">
        <x:v>1865</x:v>
      </x:c>
      <x:c r="I163" s="6" t="s">
        <x:v>1204</x:v>
      </x:c>
      <x:c r="J163" s="7" t="str">
        <x:f t="shared" si="4"/>
        <x:v>纯白人类</x:v>
      </x:c>
      <x:c r="K163" s="7" t="str">
        <x:f t="shared" si="5"/>
        <x:v>APPROVED</x:v>
      </x:c>
      <x:c r="L163" s="4" t="s">
        <x:v>1866</x:v>
      </x:c>
    </x:row>
    <x:row r="164" ht="22.5" customHeight="1">
      <x:c r="A164" s="4" t="s">
        <x:v>15</x:v>
      </x:c>
      <x:c r="B164" s="4" t="s">
        <x:v>1867</x:v>
      </x:c>
      <x:c r="C164" s="4"/>
      <x:c r="D164" s="4" t="s">
        <x:v>1868</x:v>
      </x:c>
      <x:c r="E164" s="4"/>
      <x:c r="F164" s="4" t="s">
        <x:v>1868</x:v>
      </x:c>
      <x:c r="G164" s="5" t="s">
        <x:v>1869</x:v>
      </x:c>
      <x:c r="H164" s="6" t="s">
        <x:v>1870</x:v>
      </x:c>
      <x:c r="I164" s="6" t="s">
        <x:v>1204</x:v>
      </x:c>
      <x:c r="J164" s="7" t="str">
        <x:f t="shared" si="4"/>
        <x:v>坚固鳞甲</x:v>
      </x:c>
      <x:c r="K164" s="7" t="str">
        <x:f t="shared" si="5"/>
        <x:v>APPROVED</x:v>
      </x:c>
      <x:c r="L164" s="4" t="s">
        <x:v>1871</x:v>
      </x:c>
    </x:row>
    <x:row r="165" ht="22.5" customHeight="1">
      <x:c r="A165" s="4" t="s">
        <x:v>15</x:v>
      </x:c>
      <x:c r="B165" s="4" t="s">
        <x:v>1872</x:v>
      </x:c>
      <x:c r="C165" s="4"/>
      <x:c r="D165" s="4" t="s">
        <x:v>684</x:v>
      </x:c>
      <x:c r="E165" s="4"/>
      <x:c r="F165" s="4" t="s">
        <x:v>684</x:v>
      </x:c>
      <x:c r="G165" s="5" t="s">
        <x:v>1873</x:v>
      </x:c>
      <x:c r="H165" s="6" t="s">
        <x:v>1873</x:v>
      </x:c>
      <x:c r="I165" s="6" t="s">
        <x:v>1204</x:v>
      </x:c>
      <x:c r="J165" s="7" t="str">
        <x:f t="shared" si="4"/>
        <x:v>共鸣</x:v>
      </x:c>
      <x:c r="K165" s="7" t="str">
        <x:f t="shared" si="5"/>
        <x:v>APPROVED</x:v>
      </x:c>
      <x:c r="L165" s="4" t="s">
        <x:v>1874</x:v>
      </x:c>
    </x:row>
    <x:row r="166" ht="22.5" customHeight="1">
      <x:c r="A166" s="9" t="s">
        <x:v>15</x:v>
      </x:c>
      <x:c r="B166" s="9" t="s">
        <x:v>1875</x:v>
      </x:c>
      <x:c r="C166" s="9"/>
      <x:c r="D166" s="9" t="s">
        <x:v>638</x:v>
      </x:c>
      <x:c r="E166" s="9"/>
      <x:c r="F166" s="9" t="s">
        <x:v>638</x:v>
      </x:c>
      <x:c r="G166" s="10" t="s">
        <x:v>1876</x:v>
      </x:c>
      <x:c r="H166" s="11" t="s">
        <x:v>1876</x:v>
      </x:c>
      <x:c r="I166" s="11" t="s">
        <x:v>1204</x:v>
      </x:c>
      <x:c r="J166" s="12" t="str">
        <x:f t="shared" si="4"/>
        <x:v>红蓝介刀</x:v>
      </x:c>
      <x:c r="K166" s="12" t="str">
        <x:f t="shared" si="5"/>
        <x:v>APPROVED</x:v>
      </x:c>
      <x:c r="L166" s="13" t="s">
        <x:v>1877</x:v>
      </x:c>
    </x:row>
    <x:row r="167" ht="22.5" customHeight="1">
      <x:c r="A167" s="4" t="s">
        <x:v>15</x:v>
      </x:c>
      <x:c r="B167" s="4" t="s">
        <x:v>1875</x:v>
      </x:c>
      <x:c r="C167" s="4" t="s">
        <x:v>1221</x:v>
      </x:c>
      <x:c r="D167" s="4" t="s">
        <x:v>638</x:v>
      </x:c>
      <x:c r="E167" s="4" t="s">
        <x:v>1222</x:v>
      </x:c>
      <x:c r="F167" s="4" t="s">
        <x:v>638</x:v>
      </x:c>
      <x:c r="G167" s="5" t="s">
        <x:v>1878</x:v>
      </x:c>
      <x:c r="H167" s="6" t="s">
        <x:v>1876</x:v>
      </x:c>
      <x:c r="I167" s="6" t="s">
        <x:v>1204</x:v>
      </x:c>
      <x:c r="J167" s="7" t="str">
        <x:f t="shared" si="4"/>
        <x:v>红蓝介刀</x:v>
      </x:c>
      <x:c r="K167" s="7" t="str">
        <x:f t="shared" si="5"/>
        <x:v>APPROVED</x:v>
      </x:c>
      <x:c r="L167" s="4" t="s">
        <x:v>1879</x:v>
      </x:c>
    </x:row>
    <x:row r="168" ht="22.5" customHeight="1">
      <x:c r="A168" s="4" t="s">
        <x:v>15</x:v>
      </x:c>
      <x:c r="B168" s="4" t="s">
        <x:v>1880</x:v>
      </x:c>
      <x:c r="C168" s="4"/>
      <x:c r="D168" s="4" t="s">
        <x:v>1881</x:v>
      </x:c>
      <x:c r="E168" s="4"/>
      <x:c r="F168" s="4" t="s">
        <x:v>1881</x:v>
      </x:c>
      <x:c r="G168" s="5" t="s">
        <x:v>1882</x:v>
      </x:c>
      <x:c r="H168" s="6" t="s">
        <x:v>1883</x:v>
      </x:c>
      <x:c r="I168" s="6" t="s">
        <x:v>1204</x:v>
      </x:c>
      <x:c r="J168" s="7" t="str">
        <x:f t="shared" si="4"/>
        <x:v>肃然致哀锁</x:v>
      </x:c>
      <x:c r="K168" s="7" t="str">
        <x:f t="shared" si="5"/>
        <x:v>APPROVED</x:v>
      </x:c>
      <x:c r="L168" s="4" t="s">
        <x:v>1884</x:v>
      </x:c>
    </x:row>
    <x:row r="169" ht="22.5" customHeight="1">
      <x:c r="A169" s="4" t="s">
        <x:v>15</x:v>
      </x:c>
      <x:c r="B169" s="4" t="s">
        <x:v>1885</x:v>
      </x:c>
      <x:c r="C169" s="4"/>
      <x:c r="D169" s="4" t="s">
        <x:v>1886</x:v>
      </x:c>
      <x:c r="E169" s="4"/>
      <x:c r="F169" s="4" t="s">
        <x:v>1886</x:v>
      </x:c>
      <x:c r="G169" s="5" t="s">
        <x:v>1887</x:v>
      </x:c>
      <x:c r="H169" s="6" t="s">
        <x:v>1888</x:v>
      </x:c>
      <x:c r="I169" s="6" t="s">
        <x:v>1204</x:v>
      </x:c>
      <x:c r="J169" s="7" t="str">
        <x:f t="shared" si="4"/>
        <x:v>贴皮</x:v>
      </x:c>
      <x:c r="K169" s="7" t="str">
        <x:f t="shared" si="5"/>
        <x:v>APPROVED</x:v>
      </x:c>
      <x:c r="L169" s="4" t="s">
        <x:v>1889</x:v>
      </x:c>
    </x:row>
    <x:row r="170" ht="22.5" customHeight="1">
      <x:c r="A170" s="9" t="s">
        <x:v>15</x:v>
      </x:c>
      <x:c r="B170" s="9" t="s">
        <x:v>1890</x:v>
      </x:c>
      <x:c r="C170" s="9"/>
      <x:c r="D170" s="9" t="s">
        <x:v>667</x:v>
      </x:c>
      <x:c r="E170" s="9"/>
      <x:c r="F170" s="9" t="s">
        <x:v>667</x:v>
      </x:c>
      <x:c r="G170" s="10" t="s">
        <x:v>1891</x:v>
      </x:c>
      <x:c r="H170" s="11" t="s">
        <x:v>1891</x:v>
      </x:c>
      <x:c r="I170" s="11" t="s">
        <x:v>1204</x:v>
      </x:c>
      <x:c r="J170" s="12" t="str">
        <x:f t="shared" si="4"/>
        <x:v>灵技</x:v>
      </x:c>
      <x:c r="K170" s="12" t="str">
        <x:f t="shared" si="5"/>
        <x:v>APPROVED</x:v>
      </x:c>
      <x:c r="L170" s="13" t="s">
        <x:v>1892</x:v>
      </x:c>
    </x:row>
    <x:row r="171" ht="22.5" customHeight="1">
      <x:c r="A171" s="4" t="s">
        <x:v>15</x:v>
      </x:c>
      <x:c r="B171" s="4" t="s">
        <x:v>1890</x:v>
      </x:c>
      <x:c r="C171" s="4" t="s">
        <x:v>1893</x:v>
      </x:c>
      <x:c r="D171" s="4" t="s">
        <x:v>667</x:v>
      </x:c>
      <x:c r="E171" s="4" t="s">
        <x:v>1894</x:v>
      </x:c>
      <x:c r="F171" s="4" t="s">
        <x:v>1895</x:v>
      </x:c>
      <x:c r="G171" s="5" t="s">
        <x:v>1896</x:v>
      </x:c>
      <x:c r="H171" s="6" t="s">
        <x:v>1896</x:v>
      </x:c>
      <x:c r="I171" s="6" t="s">
        <x:v>1204</x:v>
      </x:c>
      <x:c r="J171" s="7" t="str">
        <x:f t="shared" si="4"/>
        <x:v>课程灵技</x:v>
      </x:c>
      <x:c r="K171" s="7" t="str">
        <x:f t="shared" si="5"/>
        <x:v>APPROVED</x:v>
      </x:c>
      <x:c r="L171" s="4" t="s">
        <x:v>1897</x:v>
      </x:c>
    </x:row>
    <x:row r="172" ht="22.5" customHeight="1">
      <x:c r="A172" s="4" t="s">
        <x:v>15</x:v>
      </x:c>
      <x:c r="B172" s="4" t="s">
        <x:v>1890</x:v>
      </x:c>
      <x:c r="C172" s="4" t="s">
        <x:v>1488</x:v>
      </x:c>
      <x:c r="D172" s="4" t="s">
        <x:v>667</x:v>
      </x:c>
      <x:c r="E172" s="4" t="s">
        <x:v>1489</x:v>
      </x:c>
      <x:c r="F172" s="4" t="s">
        <x:v>1898</x:v>
      </x:c>
      <x:c r="G172" s="5" t="s">
        <x:v>1899</x:v>
      </x:c>
      <x:c r="H172" s="6" t="s">
        <x:v>1899</x:v>
      </x:c>
      <x:c r="I172" s="6" t="s">
        <x:v>1204</x:v>
      </x:c>
      <x:c r="J172" s="7" t="str">
        <x:f t="shared" si="4"/>
        <x:v>玛尔都灵技</x:v>
      </x:c>
      <x:c r="K172" s="7" t="str">
        <x:f t="shared" si="5"/>
        <x:v>APPROVED</x:v>
      </x:c>
      <x:c r="L172" s="4" t="s">
        <x:v>1900</x:v>
      </x:c>
    </x:row>
    <x:row r="173" ht="22.5" customHeight="1">
      <x:c r="A173" s="4" t="s">
        <x:v>15</x:v>
      </x:c>
      <x:c r="B173" s="4" t="s">
        <x:v>1890</x:v>
      </x:c>
      <x:c r="C173" s="4" t="s">
        <x:v>1426</x:v>
      </x:c>
      <x:c r="D173" s="4" t="s">
        <x:v>667</x:v>
      </x:c>
      <x:c r="E173" s="4" t="s">
        <x:v>1427</x:v>
      </x:c>
      <x:c r="F173" s="4" t="s">
        <x:v>1901</x:v>
      </x:c>
      <x:c r="G173" s="5" t="s">
        <x:v>1902</x:v>
      </x:c>
      <x:c r="H173" s="8" t="s">
        <x:v>1902</x:v>
      </x:c>
      <x:c r="I173" s="6" t="s">
        <x:v>1204</x:v>
      </x:c>
      <x:c r="J173" s="7" t="str">
        <x:f t="shared" si="4"/>
        <x:v>红黑灵技</x:v>
      </x:c>
      <x:c r="K173" s="7" t="str">
        <x:f t="shared" si="5"/>
        <x:v>APPROVED</x:v>
      </x:c>
      <x:c r="L173" s="4" t="s">
        <x:v>1903</x:v>
      </x:c>
    </x:row>
    <x:row r="174" ht="22.5" customHeight="1">
      <x:c r="A174" s="4" t="s">
        <x:v>15</x:v>
      </x:c>
      <x:c r="B174" s="4" t="s">
        <x:v>1890</x:v>
      </x:c>
      <x:c r="C174" s="4" t="s">
        <x:v>1904</x:v>
      </x:c>
      <x:c r="D174" s="4" t="s">
        <x:v>667</x:v>
      </x:c>
      <x:c r="E174" s="4" t="s">
        <x:v>1905</x:v>
      </x:c>
      <x:c r="F174" s="4" t="s">
        <x:v>1906</x:v>
      </x:c>
      <x:c r="G174" s="5" t="s">
        <x:v>1907</x:v>
      </x:c>
      <x:c r="H174" s="8" t="s">
        <x:v>1907</x:v>
      </x:c>
      <x:c r="I174" s="6" t="s">
        <x:v>1204</x:v>
      </x:c>
      <x:c r="J174" s="7" t="str">
        <x:f t="shared" si="4"/>
        <x:v>格利极灵技</x:v>
      </x:c>
      <x:c r="K174" s="7" t="str">
        <x:f t="shared" si="5"/>
        <x:v>APPROVED</x:v>
      </x:c>
      <x:c r="L174" s="4" t="s">
        <x:v>1908</x:v>
      </x:c>
    </x:row>
    <x:row r="175" ht="22.5" customHeight="1">
      <x:c r="A175" s="4" t="s">
        <x:v>15</x:v>
      </x:c>
      <x:c r="B175" s="4" t="s">
        <x:v>1890</x:v>
      </x:c>
      <x:c r="C175" s="4" t="s">
        <x:v>1482</x:v>
      </x:c>
      <x:c r="D175" s="4" t="s">
        <x:v>667</x:v>
      </x:c>
      <x:c r="E175" s="4" t="s">
        <x:v>1483</x:v>
      </x:c>
      <x:c r="F175" s="4" t="s">
        <x:v>1909</x:v>
      </x:c>
      <x:c r="G175" s="5" t="s">
        <x:v>1910</x:v>
      </x:c>
      <x:c r="H175" s="6" t="s">
        <x:v>1910</x:v>
      </x:c>
      <x:c r="I175" s="6" t="s">
        <x:v>1204</x:v>
      </x:c>
      <x:c r="J175" s="7" t="str">
        <x:f t="shared" si="4"/>
        <x:v>洁斯凯灵技</x:v>
      </x:c>
      <x:c r="K175" s="7" t="str">
        <x:f t="shared" si="5"/>
        <x:v>APPROVED</x:v>
      </x:c>
      <x:c r="L175" s="4" t="s">
        <x:v>1911</x:v>
      </x:c>
    </x:row>
    <x:row r="176" ht="22.5" customHeight="1">
      <x:c r="A176" s="4" t="s">
        <x:v>15</x:v>
      </x:c>
      <x:c r="B176" s="4" t="s">
        <x:v>1890</x:v>
      </x:c>
      <x:c r="C176" s="4" t="s">
        <x:v>1553</x:v>
      </x:c>
      <x:c r="D176" s="4" t="s">
        <x:v>667</x:v>
      </x:c>
      <x:c r="E176" s="4" t="s">
        <x:v>1554</x:v>
      </x:c>
      <x:c r="F176" s="4" t="s">
        <x:v>1912</x:v>
      </x:c>
      <x:c r="G176" s="5" t="s">
        <x:v>1913</x:v>
      </x:c>
      <x:c r="H176" s="6" t="s">
        <x:v>1913</x:v>
      </x:c>
      <x:c r="I176" s="6" t="s">
        <x:v>1204</x:v>
      </x:c>
      <x:c r="J176" s="7" t="str">
        <x:f t="shared" si="4"/>
        <x:v>铁木尔灵技</x:v>
      </x:c>
      <x:c r="K176" s="7" t="str">
        <x:f t="shared" si="5"/>
        <x:v>APPROVED</x:v>
      </x:c>
      <x:c r="L176" s="4" t="s">
        <x:v>1914</x:v>
      </x:c>
    </x:row>
    <x:row r="177" ht="22.5" customHeight="1">
      <x:c r="A177" s="4" t="s">
        <x:v>15</x:v>
      </x:c>
      <x:c r="B177" s="4" t="s">
        <x:v>1890</x:v>
      </x:c>
      <x:c r="C177" s="4" t="s">
        <x:v>1227</x:v>
      </x:c>
      <x:c r="D177" s="4" t="s">
        <x:v>667</x:v>
      </x:c>
      <x:c r="E177" s="4" t="s">
        <x:v>1228</x:v>
      </x:c>
      <x:c r="F177" s="4" t="s">
        <x:v>1915</x:v>
      </x:c>
      <x:c r="G177" s="5" t="s">
        <x:v>1916</x:v>
      </x:c>
      <x:c r="H177" s="8" t="s">
        <x:v>1916</x:v>
      </x:c>
      <x:c r="I177" s="6" t="s">
        <x:v>1204</x:v>
      </x:c>
      <x:c r="J177" s="7" t="str">
        <x:f t="shared" si="4"/>
        <x:v>红白灵技</x:v>
      </x:c>
      <x:c r="K177" s="7" t="str">
        <x:f t="shared" si="5"/>
        <x:v>APPROVED</x:v>
      </x:c>
      <x:c r="L177" s="4" t="s">
        <x:v>1917</x:v>
      </x:c>
    </x:row>
    <x:row r="178" ht="22.5" customHeight="1">
      <x:c r="A178" s="4" t="s">
        <x:v>15</x:v>
      </x:c>
      <x:c r="B178" s="4" t="s">
        <x:v>1890</x:v>
      </x:c>
      <x:c r="C178" s="4" t="s">
        <x:v>1432</x:v>
      </x:c>
      <x:c r="D178" s="4" t="s">
        <x:v>667</x:v>
      </x:c>
      <x:c r="E178" s="4" t="s">
        <x:v>1433</x:v>
      </x:c>
      <x:c r="F178" s="4" t="s">
        <x:v>1918</x:v>
      </x:c>
      <x:c r="G178" s="5" t="s">
        <x:v>1919</x:v>
      </x:c>
      <x:c r="H178" s="6" t="s">
        <x:v>1919</x:v>
      </x:c>
      <x:c r="I178" s="6" t="s">
        <x:v>1204</x:v>
      </x:c>
      <x:c r="J178" s="7" t="str">
        <x:f t="shared" si="4"/>
        <x:v>纯红灵技</x:v>
      </x:c>
      <x:c r="K178" s="7" t="str">
        <x:f t="shared" si="5"/>
        <x:v>APPROVED</x:v>
      </x:c>
      <x:c r="L178" s="4" t="s">
        <x:v>1920</x:v>
      </x:c>
    </x:row>
    <x:row r="179" ht="22.5" customHeight="1">
      <x:c r="A179" s="4" t="s">
        <x:v>15</x:v>
      </x:c>
      <x:c r="B179" s="4" t="s">
        <x:v>1890</x:v>
      </x:c>
      <x:c r="C179" s="4" t="s">
        <x:v>1221</x:v>
      </x:c>
      <x:c r="D179" s="4" t="s">
        <x:v>667</x:v>
      </x:c>
      <x:c r="E179" s="4" t="s">
        <x:v>1222</x:v>
      </x:c>
      <x:c r="F179" s="4" t="s">
        <x:v>1309</x:v>
      </x:c>
      <x:c r="G179" s="5" t="s">
        <x:v>1310</x:v>
      </x:c>
      <x:c r="H179" s="6" t="s">
        <x:v>1311</x:v>
      </x:c>
      <x:c r="I179" s="6" t="s">
        <x:v>1204</x:v>
      </x:c>
      <x:c r="J179" s="7" t="str">
        <x:f t="shared" si="4"/>
        <x:v>红蓝灵技</x:v>
      </x:c>
      <x:c r="K179" s="7" t="str">
        <x:f t="shared" si="5"/>
        <x:v>APPROVED</x:v>
      </x:c>
      <x:c r="L179" s="4" t="s">
        <x:v>1921</x:v>
      </x:c>
    </x:row>
    <x:row r="180" ht="22.5" customHeight="1">
      <x:c r="A180" s="4" t="s">
        <x:v>15</x:v>
      </x:c>
      <x:c r="B180" s="4" t="s">
        <x:v>1922</x:v>
      </x:c>
      <x:c r="C180" s="4"/>
      <x:c r="D180" s="4" t="s">
        <x:v>1923</x:v>
      </x:c>
      <x:c r="E180" s="4"/>
      <x:c r="F180" s="4" t="s">
        <x:v>1923</x:v>
      </x:c>
      <x:c r="G180" s="5" t="s">
        <x:v>1924</x:v>
      </x:c>
      <x:c r="H180" s="6" t="s">
        <x:v>1925</x:v>
      </x:c>
      <x:c r="I180" s="6" t="s">
        <x:v>1204</x:v>
      </x:c>
      <x:c r="J180" s="7" t="str">
        <x:f t="shared" si="4"/>
        <x:v>地脉投掷</x:v>
      </x:c>
      <x:c r="K180" s="7" t="str">
        <x:f t="shared" si="5"/>
        <x:v>APPROVED</x:v>
      </x:c>
      <x:c r="L180" s="4" t="s">
        <x:v>1926</x:v>
      </x:c>
    </x:row>
    <x:row r="181" ht="22.5" customHeight="1">
      <x:c r="A181" s="4" t="s">
        <x:v>15</x:v>
      </x:c>
      <x:c r="B181" s="4" t="s">
        <x:v>1927</x:v>
      </x:c>
      <x:c r="C181" s="4"/>
      <x:c r="D181" s="4" t="s">
        <x:v>714</x:v>
      </x:c>
      <x:c r="E181" s="4"/>
      <x:c r="F181" s="4" t="s">
        <x:v>714</x:v>
      </x:c>
      <x:c r="G181" s="5" t="s">
        <x:v>1928</x:v>
      </x:c>
      <x:c r="H181" s="6" t="s">
        <x:v>1929</x:v>
      </x:c>
      <x:c r="I181" s="6" t="s">
        <x:v>1204</x:v>
      </x:c>
      <x:c r="J181" s="7" t="str">
        <x:f t="shared" si="4"/>
        <x:v>泰坦护身符</x:v>
      </x:c>
      <x:c r="K181" s="7" t="str">
        <x:f t="shared" si="5"/>
        <x:v>APPROVED</x:v>
      </x:c>
      <x:c r="L181" s="4" t="s">
        <x:v>1930</x:v>
      </x:c>
    </x:row>
    <x:row r="182" ht="22.5" customHeight="1">
      <x:c r="A182" s="9" t="s">
        <x:v>15</x:v>
      </x:c>
      <x:c r="B182" s="9" t="s">
        <x:v>1931</x:v>
      </x:c>
      <x:c r="C182" s="9"/>
      <x:c r="D182" s="9" t="s">
        <x:v>1932</x:v>
      </x:c>
      <x:c r="E182" s="9"/>
      <x:c r="F182" s="9" t="s">
        <x:v>1932</x:v>
      </x:c>
      <x:c r="G182" s="10" t="s">
        <x:v>1933</x:v>
      </x:c>
      <x:c r="H182" s="14" t="s">
        <x:v>1933</x:v>
      </x:c>
      <x:c r="I182" s="11" t="s">
        <x:v>1204</x:v>
      </x:c>
      <x:c r="J182" s="12" t="str">
        <x:f t="shared" si="4"/>
        <x:v>变境</x:v>
      </x:c>
      <x:c r="K182" s="12" t="str">
        <x:f t="shared" si="5"/>
        <x:v>APPROVED</x:v>
      </x:c>
      <x:c r="L182" s="13" t="s">
        <x:v>1934</x:v>
      </x:c>
    </x:row>
    <x:row r="183" ht="22.5" customHeight="1">
      <x:c r="A183" s="4" t="s">
        <x:v>15</x:v>
      </x:c>
      <x:c r="B183" s="4" t="s">
        <x:v>1931</x:v>
      </x:c>
      <x:c r="C183" s="4" t="s">
        <x:v>1935</x:v>
      </x:c>
      <x:c r="D183" s="4" t="s">
        <x:v>1932</x:v>
      </x:c>
      <x:c r="E183" s="4" t="s">
        <x:v>1936</x:v>
      </x:c>
      <x:c r="F183" s="4" t="s">
        <x:v>1937</x:v>
      </x:c>
      <x:c r="G183" s="5" t="s">
        <x:v>1938</x:v>
      </x:c>
      <x:c r="H183" s="6" t="s">
        <x:v>1939</x:v>
      </x:c>
      <x:c r="I183" s="6" t="s">
        <x:v>1204</x:v>
      </x:c>
      <x:c r="J183" s="7" t="str">
        <x:f t="shared" si="4"/>
        <x:v>四色变境</x:v>
      </x:c>
      <x:c r="K183" s="7" t="str">
        <x:f t="shared" si="5"/>
        <x:v>APPROVED</x:v>
      </x:c>
      <x:c r="L183" s="4" t="s">
        <x:v>1940</x:v>
      </x:c>
    </x:row>
    <x:row r="184" ht="22.5" customHeight="1">
      <x:c r="A184" s="4" t="s">
        <x:v>15</x:v>
      </x:c>
      <x:c r="B184" s="4" t="s">
        <x:v>1931</x:v>
      </x:c>
      <x:c r="C184" s="4" t="s">
        <x:v>1941</x:v>
      </x:c>
      <x:c r="D184" s="4" t="s">
        <x:v>1932</x:v>
      </x:c>
      <x:c r="E184" s="4" t="s">
        <x:v>1942</x:v>
      </x:c>
      <x:c r="F184" s="4" t="s">
        <x:v>1943</x:v>
      </x:c>
      <x:c r="G184" s="5" t="s">
        <x:v>1944</x:v>
      </x:c>
      <x:c r="H184" s="8" t="s">
        <x:v>1945</x:v>
      </x:c>
      <x:c r="I184" s="6" t="s">
        <x:v>1204</x:v>
      </x:c>
      <x:c r="J184" s="7" t="str">
        <x:f t="shared" si="4"/>
        <x:v>纳雅变境</x:v>
      </x:c>
      <x:c r="K184" s="7" t="str">
        <x:f t="shared" si="5"/>
        <x:v>APPROVED</x:v>
      </x:c>
      <x:c r="L184" s="4" t="s">
        <x:v>1946</x:v>
      </x:c>
    </x:row>
    <x:row r="185" ht="22.5" customHeight="1">
      <x:c r="A185" s="4" t="s">
        <x:v>15</x:v>
      </x:c>
      <x:c r="B185" s="4" t="s">
        <x:v>1947</x:v>
      </x:c>
      <x:c r="C185" s="4"/>
      <x:c r="D185" s="4" t="s">
        <x:v>1948</x:v>
      </x:c>
      <x:c r="E185" s="4"/>
      <x:c r="F185" s="4" t="s">
        <x:v>1948</x:v>
      </x:c>
      <x:c r="G185" s="5" t="s">
        <x:v>1949</x:v>
      </x:c>
      <x:c r="H185" s="8" t="s">
        <x:v>1950</x:v>
      </x:c>
      <x:c r="I185" s="6" t="s">
        <x:v>1204</x:v>
      </x:c>
      <x:c r="J185" s="7" t="str">
        <x:f t="shared" si="4"/>
        <x:v>红绿瓦拉库</x:v>
      </x:c>
      <x:c r="K185" s="7" t="str">
        <x:f t="shared" si="5"/>
        <x:v>APPROVED</x:v>
      </x:c>
      <x:c r="L185" s="4" t="s">
        <x:v>1951</x:v>
      </x:c>
    </x:row>
    <x:row r="186" ht="22.5" customHeight="1">
      <x:c r="A186" s="4" t="s">
        <x:v>15</x:v>
      </x:c>
      <x:c r="B186" s="4" t="s">
        <x:v>1952</x:v>
      </x:c>
      <x:c r="C186" s="4"/>
      <x:c r="D186" s="4" t="s">
        <x:v>757</x:v>
      </x:c>
      <x:c r="E186" s="4"/>
      <x:c r="F186" s="4" t="s">
        <x:v>757</x:v>
      </x:c>
      <x:c r="G186" s="5" t="s">
        <x:v>1953</x:v>
      </x:c>
      <x:c r="H186" s="8" t="s">
        <x:v>1954</x:v>
      </x:c>
      <x:c r="I186" s="6" t="s">
        <x:v>1204</x:v>
      </x:c>
      <x:c r="J186" s="7" t="str">
        <x:f t="shared" si="4"/>
        <x:v>红白炸地</x:v>
      </x:c>
      <x:c r="K186" s="7" t="str">
        <x:f t="shared" si="5"/>
        <x:v>APPROVED</x:v>
      </x:c>
      <x:c r="L186" s="4" t="s">
        <x:v>1955</x:v>
      </x:c>
    </x:row>
    <x:row r="187" ht="22.5" customHeight="1">
      <x:c r="A187" s="4" t="s">
        <x:v>15</x:v>
      </x:c>
      <x:c r="B187" s="4" t="s">
        <x:v>1956</x:v>
      </x:c>
      <x:c r="C187" s="4"/>
      <x:c r="D187" s="4" t="s">
        <x:v>1957</x:v>
      </x:c>
      <x:c r="E187" s="4"/>
      <x:c r="F187" s="4" t="s">
        <x:v>1957</x:v>
      </x:c>
      <x:c r="G187" s="5" t="s">
        <x:v>1958</x:v>
      </x:c>
      <x:c r="H187" s="8" t="s">
        <x:v>1958</x:v>
      </x:c>
      <x:c r="I187" s="6" t="s">
        <x:v>1204</x:v>
      </x:c>
      <x:c r="J187" s="7" t="str">
        <x:f t="shared" si="4"/>
        <x:v>红绿中速</x:v>
      </x:c>
      <x:c r="K187" s="7" t="str">
        <x:f t="shared" si="5"/>
        <x:v>APPROVED</x:v>
      </x:c>
      <x:c r="L187" s="4" t="s">
        <x:v>1959</x:v>
      </x:c>
    </x:row>
    <x:row r="188" ht="22.5" customHeight="1">
      <x:c r="A188" s="4" t="s">
        <x:v>15</x:v>
      </x:c>
      <x:c r="B188" s="4" t="s">
        <x:v>1960</x:v>
      </x:c>
      <x:c r="C188" s="4"/>
      <x:c r="D188" s="4" t="s">
        <x:v>655</x:v>
      </x:c>
      <x:c r="E188" s="4"/>
      <x:c r="F188" s="4" t="s">
        <x:v>655</x:v>
      </x:c>
      <x:c r="G188" s="5" t="s">
        <x:v>1961</x:v>
      </x:c>
      <x:c r="H188" s="8" t="s">
        <x:v>1962</x:v>
      </x:c>
      <x:c r="I188" s="6" t="s">
        <x:v>1204</x:v>
      </x:c>
      <x:c r="J188" s="7" t="str">
        <x:f t="shared" si="4"/>
        <x:v>领土动物园</x:v>
      </x:c>
      <x:c r="K188" s="7" t="str">
        <x:f t="shared" si="5"/>
        <x:v>APPROVED</x:v>
      </x:c>
      <x:c r="L188" s="4" t="s">
        <x:v>1963</x:v>
      </x:c>
    </x:row>
    <x:row r="189" ht="22.5" customHeight="1">
      <x:c r="A189" s="4" t="s">
        <x:v>15</x:v>
      </x:c>
      <x:c r="B189" s="4" t="s">
        <x:v>1964</x:v>
      </x:c>
      <x:c r="C189" s="4"/>
      <x:c r="D189" s="4" t="s">
        <x:v>987</x:v>
      </x:c>
      <x:c r="E189" s="4"/>
      <x:c r="F189" s="4" t="s">
        <x:v>987</x:v>
      </x:c>
      <x:c r="G189" s="5" t="s">
        <x:v>1965</x:v>
      </x:c>
      <x:c r="H189" s="8" t="s">
        <x:v>1965</x:v>
      </x:c>
      <x:c r="I189" s="6" t="s">
        <x:v>1204</x:v>
      </x:c>
      <x:c r="J189" s="7" t="str">
        <x:f t="shared" si="4"/>
        <x:v>五色元素</x:v>
      </x:c>
      <x:c r="K189" s="7" t="str">
        <x:f t="shared" si="5"/>
        <x:v>APPROVED</x:v>
      </x:c>
      <x:c r="L189" s="4" t="s">
        <x:v>1966</x:v>
      </x:c>
    </x:row>
    <x:row r="190" ht="22.5" customHeight="1">
      <x:c r="A190" s="4" t="s">
        <x:v>15</x:v>
      </x:c>
      <x:c r="B190" s="4" t="s">
        <x:v>1967</x:v>
      </x:c>
      <x:c r="C190" s="4"/>
      <x:c r="D190" s="4" t="s">
        <x:v>701</x:v>
      </x:c>
      <x:c r="E190" s="4"/>
      <x:c r="F190" s="4" t="s">
        <x:v>701</x:v>
      </x:c>
      <x:c r="G190" s="5" t="s">
        <x:v>1968</x:v>
      </x:c>
      <x:c r="H190" s="8" t="s">
        <x:v>1968</x:v>
      </x:c>
      <x:c r="I190" s="6" t="s">
        <x:v>1204</x:v>
      </x:c>
      <x:c r="J190" s="7" t="str">
        <x:f t="shared" si="4"/>
        <x:v>纯蓝喷火炮</x:v>
      </x:c>
      <x:c r="K190" s="7" t="str">
        <x:f t="shared" si="5"/>
        <x:v>APPROVED</x:v>
      </x:c>
      <x:c r="L190" s="4" t="s">
        <x:v>1969</x:v>
      </x:c>
    </x:row>
    <x:row r="191" ht="22.5" customHeight="1">
      <x:c r="A191" s="4" t="s">
        <x:v>15</x:v>
      </x:c>
      <x:c r="B191" s="4" t="s">
        <x:v>1970</x:v>
      </x:c>
      <x:c r="C191" s="4"/>
      <x:c r="D191" s="4" t="s">
        <x:v>1971</x:v>
      </x:c>
      <x:c r="E191" s="4"/>
      <x:c r="F191" s="4" t="s">
        <x:v>1971</x:v>
      </x:c>
      <x:c r="G191" s="5" t="s">
        <x:v>1972</x:v>
      </x:c>
      <x:c r="H191" s="6" t="s">
        <x:v>1972</x:v>
      </x:c>
      <x:c r="I191" s="6" t="s">
        <x:v>1204</x:v>
      </x:c>
      <x:c r="J191" s="7" t="str">
        <x:f t="shared" si="4"/>
        <x:v>红白喷火炮</x:v>
      </x:c>
      <x:c r="K191" s="7" t="str">
        <x:f t="shared" si="5"/>
        <x:v>APPROVED</x:v>
      </x:c>
      <x:c r="L191" s="4" t="s">
        <x:v>1973</x:v>
      </x:c>
    </x:row>
    <x:row r="192" ht="22.5" customHeight="1">
      <x:c r="A192" s="9" t="s">
        <x:v>15</x:v>
      </x:c>
      <x:c r="B192" s="9" t="s">
        <x:v>1974</x:v>
      </x:c>
      <x:c r="C192" s="9"/>
      <x:c r="D192" s="9" t="s">
        <x:v>1138</x:v>
      </x:c>
      <x:c r="E192" s="9"/>
      <x:c r="F192" s="9" t="s">
        <x:v>1138</x:v>
      </x:c>
      <x:c r="G192" s="10" t="s">
        <x:v>1975</x:v>
      </x:c>
      <x:c r="H192" s="14" t="s">
        <x:v>1976</x:v>
      </x:c>
      <x:c r="I192" s="11" t="s">
        <x:v>1204</x:v>
      </x:c>
      <x:c r="J192" s="12" t="str">
        <x:f t="shared" si="4"/>
        <x:v>仪式大眼</x:v>
      </x:c>
      <x:c r="K192" s="12" t="str">
        <x:f t="shared" si="5"/>
        <x:v>APPROVED</x:v>
      </x:c>
      <x:c r="L192" s="13" t="s">
        <x:v>1977</x:v>
      </x:c>
    </x:row>
    <x:row r="193" ht="22.5" customHeight="1">
      <x:c r="A193" s="4" t="s">
        <x:v>15</x:v>
      </x:c>
      <x:c r="B193" s="4" t="s">
        <x:v>1974</x:v>
      </x:c>
      <x:c r="C193" s="4" t="s">
        <x:v>1978</x:v>
      </x:c>
      <x:c r="D193" s="4" t="s">
        <x:v>1138</x:v>
      </x:c>
      <x:c r="E193" s="4" t="s">
        <x:v>1979</x:v>
      </x:c>
      <x:c r="F193" s="4" t="s">
        <x:v>1980</x:v>
      </x:c>
      <x:c r="G193" s="5" t="s">
        <x:v>1981</x:v>
      </x:c>
      <x:c r="H193" s="6" t="s">
        <x:v>1656</x:v>
      </x:c>
      <x:c r="I193" s="6" t="s">
        <x:v>1204</x:v>
      </x:c>
      <x:c r="J193" s="7" t="str">
        <x:f t="shared" si="4"/>
        <x:v>苏勒台大眼</x:v>
      </x:c>
      <x:c r="K193" s="7" t="str">
        <x:f t="shared" si="5"/>
        <x:v>APPROVED</x:v>
      </x:c>
      <x:c r="L193" s="4" t="s">
        <x:v>1982</x:v>
      </x:c>
    </x:row>
    <x:row r="194" ht="22.5" customHeight="1">
      <x:c r="A194" s="4" t="s">
        <x:v>15</x:v>
      </x:c>
      <x:c r="B194" s="4" t="s">
        <x:v>1974</x:v>
      </x:c>
      <x:c r="C194" s="4" t="s">
        <x:v>1553</x:v>
      </x:c>
      <x:c r="D194" s="4" t="s">
        <x:v>1138</x:v>
      </x:c>
      <x:c r="E194" s="4" t="s">
        <x:v>1554</x:v>
      </x:c>
      <x:c r="F194" s="4" t="s">
        <x:v>1983</x:v>
      </x:c>
      <x:c r="G194" s="5" t="s">
        <x:v>1984</x:v>
      </x:c>
      <x:c r="H194" s="8" t="s">
        <x:v>1985</x:v>
      </x:c>
      <x:c r="I194" s="6" t="s">
        <x:v>1204</x:v>
      </x:c>
      <x:c r="J194" s="7" t="str">
        <x:f t="shared" si="4"/>
        <x:v>铁木尔大眼</x:v>
      </x:c>
      <x:c r="K194" s="7" t="str">
        <x:f t="shared" si="5"/>
        <x:v>APPROVED</x:v>
      </x:c>
      <x:c r="L194" s="4" t="s">
        <x:v>1986</x:v>
      </x:c>
    </x:row>
    <x:row r="195" ht="22.5" customHeight="1">
      <x:c r="A195" s="4" t="s">
        <x:v>15</x:v>
      </x:c>
      <x:c r="B195" s="4" t="s">
        <x:v>1974</x:v>
      </x:c>
      <x:c r="C195" s="4" t="s">
        <x:v>1565</x:v>
      </x:c>
      <x:c r="D195" s="4" t="s">
        <x:v>1138</x:v>
      </x:c>
      <x:c r="E195" s="4" t="s">
        <x:v>1566</x:v>
      </x:c>
      <x:c r="F195" s="4" t="s">
        <x:v>1987</x:v>
      </x:c>
      <x:c r="G195" s="5" t="s">
        <x:v>1988</x:v>
      </x:c>
      <x:c r="H195" s="6" t="s">
        <x:v>1989</x:v>
      </x:c>
      <x:c r="I195" s="6" t="s">
        <x:v>1204</x:v>
      </x:c>
      <x:c r="J195" s="7" t="str">
        <x:f t="shared" si="4"/>
        <x:v>蓝绿大眼</x:v>
      </x:c>
      <x:c r="K195" s="7" t="str">
        <x:f t="shared" si="5"/>
        <x:v>APPROVED</x:v>
      </x:c>
      <x:c r="L195" s="4" t="s">
        <x:v>1990</x:v>
      </x:c>
    </x:row>
    <x:row r="196" ht="22.5" customHeight="1">
      <x:c r="A196" s="4" t="s">
        <x:v>15</x:v>
      </x:c>
      <x:c r="B196" s="4" t="s">
        <x:v>1991</x:v>
      </x:c>
      <x:c r="C196" s="4"/>
      <x:c r="D196" s="4" t="s">
        <x:v>1992</x:v>
      </x:c>
      <x:c r="E196" s="4"/>
      <x:c r="F196" s="4" t="s">
        <x:v>1992</x:v>
      </x:c>
      <x:c r="G196" s="5" t="s">
        <x:v>1993</x:v>
      </x:c>
      <x:c r="H196" s="6" t="s">
        <x:v>1994</x:v>
      </x:c>
      <x:c r="I196" s="6" t="s">
        <x:v>1204</x:v>
      </x:c>
      <x:c r="J196" s="7" t="str">
        <x:f t="shared" si="4"/>
        <x:v>五色仪式</x:v>
      </x:c>
      <x:c r="K196" s="7" t="str">
        <x:f t="shared" si="5"/>
        <x:v>APPROVED</x:v>
      </x:c>
      <x:c r="L196" s="4" t="s">
        <x:v>1995</x:v>
      </x:c>
    </x:row>
    <x:row r="197" ht="22.5" customHeight="1">
      <x:c r="A197" s="4" t="s">
        <x:v>15</x:v>
      </x:c>
      <x:c r="B197" s="4" t="s">
        <x:v>1996</x:v>
      </x:c>
      <x:c r="C197" s="4"/>
      <x:c r="D197" s="4" t="s">
        <x:v>1997</x:v>
      </x:c>
      <x:c r="E197" s="4"/>
      <x:c r="F197" s="4" t="s">
        <x:v>1997</x:v>
      </x:c>
      <x:c r="G197" s="5" t="s">
        <x:v>1998</x:v>
      </x:c>
      <x:c r="H197" s="8" t="s">
        <x:v>1999</x:v>
      </x:c>
      <x:c r="I197" s="6" t="s">
        <x:v>1204</x:v>
      </x:c>
      <x:c r="J197" s="7" t="str">
        <x:f t="shared" ref="J197:J260" si="6">IF(H197&lt;&gt;"",H197,G197)</x:f>
        <x:v>山姆组合技</x:v>
      </x:c>
      <x:c r="K197" s="7" t="str">
        <x:f t="shared" ref="K197:K260" si="7">IF(I197="APPROVED","APPROVED",IF(I197="REVISE","REVISION REQUESTED","NEEDS OWNER REVIEW"))</x:f>
        <x:v>APPROVED</x:v>
      </x:c>
      <x:c r="L197" s="4" t="s">
        <x:v>2000</x:v>
      </x:c>
    </x:row>
    <x:row r="198" ht="22.5" customHeight="1">
      <x:c r="A198" s="4" t="s">
        <x:v>15</x:v>
      </x:c>
      <x:c r="B198" s="4" t="s">
        <x:v>2001</x:v>
      </x:c>
      <x:c r="C198" s="4"/>
      <x:c r="D198" s="4" t="s">
        <x:v>871</x:v>
      </x:c>
      <x:c r="E198" s="4"/>
      <x:c r="F198" s="4" t="s">
        <x:v>871</x:v>
      </x:c>
      <x:c r="G198" s="5" t="s">
        <x:v>2002</x:v>
      </x:c>
      <x:c r="H198" s="8" t="s">
        <x:v>2003</x:v>
      </x:c>
      <x:c r="I198" s="6" t="s">
        <x:v>1204</x:v>
      </x:c>
      <x:c r="J198" s="7" t="str">
        <x:f t="shared" si="6"/>
        <x:v>约哥</x:v>
      </x:c>
      <x:c r="K198" s="7" t="str">
        <x:f t="shared" si="7"/>
        <x:v>APPROVED</x:v>
      </x:c>
      <x:c r="L198" s="4" t="s">
        <x:v>2004</x:v>
      </x:c>
    </x:row>
    <x:row r="199" ht="22.5" customHeight="1">
      <x:c r="A199" s="9" t="s">
        <x:v>15</x:v>
      </x:c>
      <x:c r="B199" s="9" t="s">
        <x:v>2005</x:v>
      </x:c>
      <x:c r="C199" s="9"/>
      <x:c r="D199" s="9" t="s">
        <x:v>673</x:v>
      </x:c>
      <x:c r="E199" s="9"/>
      <x:c r="F199" s="9" t="s">
        <x:v>673</x:v>
      </x:c>
      <x:c r="G199" s="10" t="s">
        <x:v>2006</x:v>
      </x:c>
      <x:c r="H199" s="14" t="s">
        <x:v>2007</x:v>
      </x:c>
      <x:c r="I199" s="11" t="s">
        <x:v>1204</x:v>
      </x:c>
      <x:c r="J199" s="12" t="str">
        <x:f t="shared" si="6"/>
        <x:v>孳巢蜥组合技</x:v>
      </x:c>
      <x:c r="K199" s="12" t="str">
        <x:f t="shared" si="7"/>
        <x:v>APPROVED</x:v>
      </x:c>
      <x:c r="L199" s="13" t="s">
        <x:v>2008</x:v>
      </x:c>
    </x:row>
    <x:row r="200" ht="22.5" customHeight="1">
      <x:c r="A200" s="4" t="s">
        <x:v>15</x:v>
      </x:c>
      <x:c r="B200" s="4" t="s">
        <x:v>2005</x:v>
      </x:c>
      <x:c r="C200" s="4" t="s">
        <x:v>2009</x:v>
      </x:c>
      <x:c r="D200" s="4" t="s">
        <x:v>673</x:v>
      </x:c>
      <x:c r="E200" s="4" t="s">
        <x:v>2010</x:v>
      </x:c>
      <x:c r="F200" s="4" t="s">
        <x:v>2011</x:v>
      </x:c>
      <x:c r="G200" s="5" t="s">
        <x:v>2012</x:v>
      </x:c>
      <x:c r="H200" s="6" t="s">
        <x:v>2013</x:v>
      </x:c>
      <x:c r="I200" s="6" t="s">
        <x:v>1204</x:v>
      </x:c>
      <x:c r="J200" s="7" t="str">
        <x:f t="shared" si="6"/>
        <x:v>黑绿孳巢蜥</x:v>
      </x:c>
      <x:c r="K200" s="7" t="str">
        <x:f t="shared" si="7"/>
        <x:v>APPROVED</x:v>
      </x:c>
      <x:c r="L200" s="4" t="s">
        <x:v>2014</x:v>
      </x:c>
    </x:row>
    <x:row r="201" ht="22.5" customHeight="1">
      <x:c r="A201" s="4" t="s">
        <x:v>15</x:v>
      </x:c>
      <x:c r="B201" s="4" t="s">
        <x:v>2005</x:v>
      </x:c>
      <x:c r="C201" s="4" t="s">
        <x:v>1416</x:v>
      </x:c>
      <x:c r="D201" s="4" t="s">
        <x:v>673</x:v>
      </x:c>
      <x:c r="E201" s="4" t="s">
        <x:v>1417</x:v>
      </x:c>
      <x:c r="F201" s="4" t="s">
        <x:v>2015</x:v>
      </x:c>
      <x:c r="G201" s="5" t="s">
        <x:v>2016</x:v>
      </x:c>
      <x:c r="H201" s="6" t="s">
        <x:v>2017</x:v>
      </x:c>
      <x:c r="I201" s="6" t="s">
        <x:v>1204</x:v>
      </x:c>
      <x:c r="J201" s="7" t="str">
        <x:f t="shared" si="6"/>
        <x:v>红绿孳巢蜥</x:v>
      </x:c>
      <x:c r="K201" s="7" t="str">
        <x:f t="shared" si="7"/>
        <x:v>APPROVED</x:v>
      </x:c>
      <x:c r="L201" s="4" t="s">
        <x:v>2018</x:v>
      </x:c>
    </x:row>
    <x:row r="202" ht="22.5" customHeight="1">
      <x:c r="A202" s="4" t="s">
        <x:v>15</x:v>
      </x:c>
      <x:c r="B202" s="4" t="s">
        <x:v>2005</x:v>
      </x:c>
      <x:c r="C202" s="4" t="s">
        <x:v>2019</x:v>
      </x:c>
      <x:c r="D202" s="4" t="s">
        <x:v>673</x:v>
      </x:c>
      <x:c r="E202" s="4" t="s">
        <x:v>2020</x:v>
      </x:c>
      <x:c r="F202" s="4" t="s">
        <x:v>2021</x:v>
      </x:c>
      <x:c r="G202" s="5" t="s">
        <x:v>2022</x:v>
      </x:c>
      <x:c r="H202" s="6" t="s">
        <x:v>2023</x:v>
      </x:c>
      <x:c r="I202" s="6" t="s">
        <x:v>1204</x:v>
      </x:c>
      <x:c r="J202" s="7" t="str">
        <x:f t="shared" si="6"/>
        <x:v>纯绿孳巢蜥</x:v>
      </x:c>
      <x:c r="K202" s="7" t="str">
        <x:f t="shared" si="7"/>
        <x:v>APPROVED</x:v>
      </x:c>
      <x:c r="L202" s="4" t="s">
        <x:v>2024</x:v>
      </x:c>
    </x:row>
    <x:row r="203" ht="22.5" customHeight="1">
      <x:c r="A203" s="4" t="s">
        <x:v>15</x:v>
      </x:c>
      <x:c r="B203" s="4" t="s">
        <x:v>2005</x:v>
      </x:c>
      <x:c r="C203" s="4" t="s">
        <x:v>1565</x:v>
      </x:c>
      <x:c r="D203" s="4" t="s">
        <x:v>673</x:v>
      </x:c>
      <x:c r="E203" s="4" t="s">
        <x:v>1566</x:v>
      </x:c>
      <x:c r="F203" s="4" t="s">
        <x:v>2025</x:v>
      </x:c>
      <x:c r="G203" s="5" t="s">
        <x:v>2026</x:v>
      </x:c>
      <x:c r="H203" s="8" t="s">
        <x:v>2027</x:v>
      </x:c>
      <x:c r="I203" s="6" t="s">
        <x:v>1204</x:v>
      </x:c>
      <x:c r="J203" s="7" t="str">
        <x:f t="shared" si="6"/>
        <x:v>蓝绿孳巢蜥</x:v>
      </x:c>
      <x:c r="K203" s="7" t="str">
        <x:f t="shared" si="7"/>
        <x:v>APPROVED</x:v>
      </x:c>
      <x:c r="L203" s="4" t="s">
        <x:v>2028</x:v>
      </x:c>
    </x:row>
    <x:row r="204" ht="22.5" customHeight="1">
      <x:c r="A204" s="9" t="s">
        <x:v>15</x:v>
      </x:c>
      <x:c r="B204" s="9" t="s">
        <x:v>2029</x:v>
      </x:c>
      <x:c r="C204" s="9"/>
      <x:c r="D204" s="9" t="s">
        <x:v>782</x:v>
      </x:c>
      <x:c r="E204" s="9"/>
      <x:c r="F204" s="9" t="s">
        <x:v>782</x:v>
      </x:c>
      <x:c r="G204" s="10" t="s">
        <x:v>2030</x:v>
      </x:c>
      <x:c r="H204" s="14" t="s">
        <x:v>2030</x:v>
      </x:c>
      <x:c r="I204" s="11" t="s">
        <x:v>1204</x:v>
      </x:c>
      <x:c r="J204" s="12" t="str">
        <x:f t="shared" si="6"/>
        <x:v>奥塔</x:v>
      </x:c>
      <x:c r="K204" s="12" t="str">
        <x:f t="shared" si="7"/>
        <x:v>APPROVED</x:v>
      </x:c>
      <x:c r="L204" s="13" t="s">
        <x:v>2031</x:v>
      </x:c>
    </x:row>
    <x:row r="205" ht="22.5" customHeight="1">
      <x:c r="A205" s="4" t="s">
        <x:v>15</x:v>
      </x:c>
      <x:c r="B205" s="4" t="s">
        <x:v>2029</x:v>
      </x:c>
      <x:c r="C205" s="4" t="s">
        <x:v>2032</x:v>
      </x:c>
      <x:c r="D205" s="4" t="s">
        <x:v>782</x:v>
      </x:c>
      <x:c r="E205" s="4" t="s">
        <x:v>2033</x:v>
      </x:c>
      <x:c r="F205" s="4" t="s">
        <x:v>2034</x:v>
      </x:c>
      <x:c r="G205" s="5" t="s">
        <x:v>2035</x:v>
      </x:c>
      <x:c r="H205" s="8" t="s">
        <x:v>2036</x:v>
      </x:c>
      <x:c r="I205" s="6" t="s">
        <x:v>1204</x:v>
      </x:c>
      <x:c r="J205" s="7" t="str">
        <x:f t="shared" si="6"/>
        <x:v>纯黑奥塔</x:v>
      </x:c>
      <x:c r="K205" s="7" t="str">
        <x:f t="shared" si="7"/>
        <x:v>APPROVED</x:v>
      </x:c>
      <x:c r="L205" s="4" t="s">
        <x:v>2037</x:v>
      </x:c>
    </x:row>
    <x:row r="206" ht="22.5" customHeight="1">
      <x:c r="A206" s="4" t="s">
        <x:v>15</x:v>
      </x:c>
      <x:c r="B206" s="4" t="s">
        <x:v>2029</x:v>
      </x:c>
      <x:c r="C206" s="4" t="s">
        <x:v>2019</x:v>
      </x:c>
      <x:c r="D206" s="4" t="s">
        <x:v>782</x:v>
      </x:c>
      <x:c r="E206" s="4" t="s">
        <x:v>2020</x:v>
      </x:c>
      <x:c r="F206" s="4" t="s">
        <x:v>2038</x:v>
      </x:c>
      <x:c r="G206" s="5" t="s">
        <x:v>2039</x:v>
      </x:c>
      <x:c r="H206" s="8" t="s">
        <x:v>2040</x:v>
      </x:c>
      <x:c r="I206" s="6" t="s">
        <x:v>1204</x:v>
      </x:c>
      <x:c r="J206" s="7" t="str">
        <x:f t="shared" si="6"/>
        <x:v>纯绿奥塔</x:v>
      </x:c>
      <x:c r="K206" s="7" t="str">
        <x:f t="shared" si="7"/>
        <x:v>APPROVED</x:v>
      </x:c>
      <x:c r="L206" s="4" t="s">
        <x:v>2041</x:v>
      </x:c>
    </x:row>
    <x:row r="207" ht="22.5" customHeight="1">
      <x:c r="A207" s="4" t="s">
        <x:v>15</x:v>
      </x:c>
      <x:c r="B207" s="4" t="s">
        <x:v>2029</x:v>
      </x:c>
      <x:c r="C207" s="4" t="s">
        <x:v>2042</x:v>
      </x:c>
      <x:c r="D207" s="4" t="s">
        <x:v>782</x:v>
      </x:c>
      <x:c r="E207" s="4" t="s">
        <x:v>2043</x:v>
      </x:c>
      <x:c r="F207" s="4" t="s">
        <x:v>2044</x:v>
      </x:c>
      <x:c r="G207" s="5" t="s">
        <x:v>2045</x:v>
      </x:c>
      <x:c r="H207" s="8" t="s">
        <x:v>2046</x:v>
      </x:c>
      <x:c r="I207" s="6" t="s">
        <x:v>1204</x:v>
      </x:c>
      <x:c r="J207" s="7" t="str">
        <x:f t="shared" si="6"/>
        <x:v>无色奥塔</x:v>
      </x:c>
      <x:c r="K207" s="7" t="str">
        <x:f t="shared" si="7"/>
        <x:v>APPROVED</x:v>
      </x:c>
      <x:c r="L207" s="4" t="s">
        <x:v>2047</x:v>
      </x:c>
    </x:row>
    <x:row r="208" ht="22.5" customHeight="1">
      <x:c r="A208" s="4" t="s">
        <x:v>15</x:v>
      </x:c>
      <x:c r="B208" s="4" t="s">
        <x:v>2048</x:v>
      </x:c>
      <x:c r="C208" s="4"/>
      <x:c r="D208" s="4" t="s">
        <x:v>2049</x:v>
      </x:c>
      <x:c r="E208" s="4"/>
      <x:c r="F208" s="4" t="s">
        <x:v>2049</x:v>
      </x:c>
      <x:c r="G208" s="5" t="s">
        <x:v>2050</x:v>
      </x:c>
      <x:c r="H208" s="8" t="s">
        <x:v>2051</x:v>
      </x:c>
      <x:c r="I208" s="6" t="s">
        <x:v>1204</x:v>
      </x:c>
      <x:c r="J208" s="7" t="str">
        <x:f t="shared" si="6"/>
        <x:v>黑奥札奇</x:v>
      </x:c>
      <x:c r="K208" s="7" t="str">
        <x:f t="shared" si="7"/>
        <x:v>APPROVED</x:v>
      </x:c>
      <x:c r="L208" s="4" t="s">
        <x:v>2052</x:v>
      </x:c>
    </x:row>
    <x:row r="209" ht="22.5" customHeight="1">
      <x:c r="A209" s="4" t="s">
        <x:v>15</x:v>
      </x:c>
      <x:c r="B209" s="4" t="s">
        <x:v>2053</x:v>
      </x:c>
      <x:c r="C209" s="4" t="s">
        <x:v>1978</x:v>
      </x:c>
      <x:c r="D209" s="4" t="s">
        <x:v>1045</x:v>
      </x:c>
      <x:c r="E209" s="4" t="s">
        <x:v>1979</x:v>
      </x:c>
      <x:c r="F209" s="4" t="s">
        <x:v>2054</x:v>
      </x:c>
      <x:c r="G209" s="5" t="s">
        <x:v>2055</x:v>
      </x:c>
      <x:c r="H209" s="6" t="s">
        <x:v>2056</x:v>
      </x:c>
      <x:c r="I209" s="6" t="s">
        <x:v>1204</x:v>
      </x:c>
      <x:c r="J209" s="7" t="str">
        <x:f t="shared" si="6"/>
        <x:v>苏勒台奥扎奇</x:v>
      </x:c>
      <x:c r="K209" s="7" t="str">
        <x:f t="shared" si="7"/>
        <x:v>APPROVED</x:v>
      </x:c>
      <x:c r="L209" s="4" t="s">
        <x:v>2057</x:v>
      </x:c>
    </x:row>
    <x:row r="210" ht="22.5" customHeight="1">
      <x:c r="A210" s="4" t="s">
        <x:v>15</x:v>
      </x:c>
      <x:c r="B210" s="4" t="s">
        <x:v>2053</x:v>
      </x:c>
      <x:c r="C210" s="4" t="s">
        <x:v>2009</x:v>
      </x:c>
      <x:c r="D210" s="4" t="s">
        <x:v>1045</x:v>
      </x:c>
      <x:c r="E210" s="4" t="s">
        <x:v>2010</x:v>
      </x:c>
      <x:c r="F210" s="4" t="s">
        <x:v>2058</x:v>
      </x:c>
      <x:c r="G210" s="5" t="s">
        <x:v>2059</x:v>
      </x:c>
      <x:c r="H210" s="8" t="s">
        <x:v>2060</x:v>
      </x:c>
      <x:c r="I210" s="6" t="s">
        <x:v>1204</x:v>
      </x:c>
      <x:c r="J210" s="7" t="str">
        <x:f t="shared" si="6"/>
        <x:v>黑绿奥札奇</x:v>
      </x:c>
      <x:c r="K210" s="7" t="str">
        <x:f t="shared" si="7"/>
        <x:v>APPROVED</x:v>
      </x:c>
      <x:c r="L210" s="4" t="s">
        <x:v>2061</x:v>
      </x:c>
    </x:row>
    <x:row r="211" ht="22.5" customHeight="1">
      <x:c r="A211" s="4" t="s">
        <x:v>15</x:v>
      </x:c>
      <x:c r="B211" s="4" t="s">
        <x:v>2053</x:v>
      </x:c>
      <x:c r="C211" s="4" t="s">
        <x:v>1553</x:v>
      </x:c>
      <x:c r="D211" s="4" t="s">
        <x:v>1045</x:v>
      </x:c>
      <x:c r="E211" s="4" t="s">
        <x:v>1554</x:v>
      </x:c>
      <x:c r="F211" s="4" t="s">
        <x:v>2062</x:v>
      </x:c>
      <x:c r="G211" s="5" t="s">
        <x:v>2063</x:v>
      </x:c>
      <x:c r="H211" s="8" t="s">
        <x:v>2064</x:v>
      </x:c>
      <x:c r="I211" s="6" t="s">
        <x:v>1204</x:v>
      </x:c>
      <x:c r="J211" s="7" t="str">
        <x:f t="shared" si="6"/>
        <x:v>铁木尔奥札奇</x:v>
      </x:c>
      <x:c r="K211" s="7" t="str">
        <x:f t="shared" si="7"/>
        <x:v>APPROVED</x:v>
      </x:c>
      <x:c r="L211" s="4" t="s">
        <x:v>2065</x:v>
      </x:c>
    </x:row>
    <x:row r="212" ht="22.5" customHeight="1">
      <x:c r="A212" s="4" t="s">
        <x:v>15</x:v>
      </x:c>
      <x:c r="B212" s="4" t="s">
        <x:v>2053</x:v>
      </x:c>
      <x:c r="C212" s="4" t="s">
        <x:v>1565</x:v>
      </x:c>
      <x:c r="D212" s="4" t="s">
        <x:v>1045</x:v>
      </x:c>
      <x:c r="E212" s="4" t="s">
        <x:v>1566</x:v>
      </x:c>
      <x:c r="F212" s="4" t="s">
        <x:v>2066</x:v>
      </x:c>
      <x:c r="G212" s="5" t="s">
        <x:v>2067</x:v>
      </x:c>
      <x:c r="H212" s="6" t="s">
        <x:v>2068</x:v>
      </x:c>
      <x:c r="I212" s="6" t="s">
        <x:v>1204</x:v>
      </x:c>
      <x:c r="J212" s="7" t="str">
        <x:f t="shared" si="6"/>
        <x:v>蓝绿奥札奇</x:v>
      </x:c>
      <x:c r="K212" s="7" t="str">
        <x:f t="shared" si="7"/>
        <x:v>APPROVED</x:v>
      </x:c>
      <x:c r="L212" s="4" t="s">
        <x:v>2069</x:v>
      </x:c>
    </x:row>
    <x:row r="213" ht="22.5" customHeight="1">
      <x:c r="A213" s="4" t="s">
        <x:v>15</x:v>
      </x:c>
      <x:c r="B213" s="4" t="s">
        <x:v>2053</x:v>
      </x:c>
      <x:c r="C213" s="4" t="s">
        <x:v>1416</x:v>
      </x:c>
      <x:c r="D213" s="4" t="s">
        <x:v>1045</x:v>
      </x:c>
      <x:c r="E213" s="4" t="s">
        <x:v>1417</x:v>
      </x:c>
      <x:c r="F213" s="4" t="s">
        <x:v>2070</x:v>
      </x:c>
      <x:c r="G213" s="5" t="s">
        <x:v>2071</x:v>
      </x:c>
      <x:c r="H213" s="6" t="s">
        <x:v>2072</x:v>
      </x:c>
      <x:c r="I213" s="6" t="s">
        <x:v>1204</x:v>
      </x:c>
      <x:c r="J213" s="7" t="str">
        <x:f t="shared" si="6"/>
        <x:v>红绿奥札奇</x:v>
      </x:c>
      <x:c r="K213" s="7" t="str">
        <x:f t="shared" si="7"/>
        <x:v>APPROVED</x:v>
      </x:c>
      <x:c r="L213" s="4" t="s">
        <x:v>2073</x:v>
      </x:c>
    </x:row>
    <x:row r="214" ht="22.5" customHeight="1">
      <x:c r="A214" s="4" t="s">
        <x:v>15</x:v>
      </x:c>
      <x:c r="B214" s="4" t="s">
        <x:v>2053</x:v>
      </x:c>
      <x:c r="C214" s="4"/>
      <x:c r="D214" s="4" t="s">
        <x:v>1045</x:v>
      </x:c>
      <x:c r="E214" s="4"/>
      <x:c r="F214" s="4" t="s">
        <x:v>1045</x:v>
      </x:c>
      <x:c r="G214" s="5" t="s">
        <x:v>2074</x:v>
      </x:c>
      <x:c r="H214" s="6" t="s">
        <x:v>2075</x:v>
      </x:c>
      <x:c r="I214" s="6" t="s">
        <x:v>1204</x:v>
      </x:c>
      <x:c r="J214" s="7" t="str">
        <x:f t="shared" si="6"/>
        <x:v>奥札奇Ramp</x:v>
      </x:c>
      <x:c r="K214" s="7" t="str">
        <x:f t="shared" si="7"/>
        <x:v>APPROVED</x:v>
      </x:c>
      <x:c r="L214" s="4" t="s">
        <x:v>2076</x:v>
      </x:c>
    </x:row>
    <x:row r="215" ht="22.5" customHeight="1">
      <x:c r="A215" s="4" t="s">
        <x:v>15</x:v>
      </x:c>
      <x:c r="B215" s="4" t="s">
        <x:v>2077</x:v>
      </x:c>
      <x:c r="C215" s="4"/>
      <x:c r="D215" s="4" t="s">
        <x:v>2078</x:v>
      </x:c>
      <x:c r="E215" s="4"/>
      <x:c r="F215" s="4" t="s">
        <x:v>2078</x:v>
      </x:c>
      <x:c r="G215" s="5" t="s">
        <x:v>2079</x:v>
      </x:c>
      <x:c r="H215" s="8" t="s">
        <x:v>2080</x:v>
      </x:c>
      <x:c r="I215" s="6" t="s">
        <x:v>1204</x:v>
      </x:c>
      <x:c r="J215" s="7" t="str">
        <x:f t="shared" si="6"/>
        <x:v>纯绿楚吉兽</x:v>
      </x:c>
      <x:c r="K215" s="7" t="str">
        <x:f t="shared" si="7"/>
        <x:v>APPROVED</x:v>
      </x:c>
      <x:c r="L215" s="4" t="s">
        <x:v>2081</x:v>
      </x:c>
    </x:row>
    <x:row r="216" ht="22.5" customHeight="1">
      <x:c r="A216" s="4" t="s">
        <x:v>15</x:v>
      </x:c>
      <x:c r="B216" s="4" t="s">
        <x:v>2082</x:v>
      </x:c>
      <x:c r="C216" s="4"/>
      <x:c r="D216" s="4" t="s">
        <x:v>1059</x:v>
      </x:c>
      <x:c r="E216" s="4"/>
      <x:c r="F216" s="4" t="s">
        <x:v>1059</x:v>
      </x:c>
      <x:c r="G216" s="5" t="s">
        <x:v>2083</x:v>
      </x:c>
      <x:c r="H216" s="6" t="s">
        <x:v>2084</x:v>
      </x:c>
      <x:c r="I216" s="6" t="s">
        <x:v>1204</x:v>
      </x:c>
      <x:c r="J216" s="7" t="str">
        <x:f t="shared" si="6"/>
        <x:v>操纵比赛</x:v>
      </x:c>
      <x:c r="K216" s="7" t="str">
        <x:f t="shared" si="7"/>
        <x:v>APPROVED</x:v>
      </x:c>
      <x:c r="L216" s="4" t="s">
        <x:v>2085</x:v>
      </x:c>
    </x:row>
    <x:row r="217" ht="22.5" customHeight="1">
      <x:c r="A217" s="4" t="s">
        <x:v>15</x:v>
      </x:c>
      <x:c r="B217" s="4" t="s">
        <x:v>2086</x:v>
      </x:c>
      <x:c r="C217" s="4"/>
      <x:c r="D217" s="4" t="s">
        <x:v>2087</x:v>
      </x:c>
      <x:c r="E217" s="4"/>
      <x:c r="F217" s="4" t="s">
        <x:v>2087</x:v>
      </x:c>
      <x:c r="G217" s="5" t="s">
        <x:v>2088</x:v>
      </x:c>
      <x:c r="H217" s="8" t="s">
        <x:v>2089</x:v>
      </x:c>
      <x:c r="I217" s="6" t="s">
        <x:v>1204</x:v>
      </x:c>
      <x:c r="J217" s="7" t="str">
        <x:f t="shared" si="6"/>
        <x:v>奥札奇快攻</x:v>
      </x:c>
      <x:c r="K217" s="7" t="str">
        <x:f t="shared" si="7"/>
        <x:v>APPROVED</x:v>
      </x:c>
      <x:c r="L217" s="4" t="s">
        <x:v>2090</x:v>
      </x:c>
    </x:row>
    <x:row r="218" ht="22.5" customHeight="1">
      <x:c r="A218" s="4" t="s">
        <x:v>15</x:v>
      </x:c>
      <x:c r="B218" s="4" t="s">
        <x:v>2091</x:v>
      </x:c>
      <x:c r="C218" s="4"/>
      <x:c r="D218" s="4" t="s">
        <x:v>2092</x:v>
      </x:c>
      <x:c r="E218" s="4"/>
      <x:c r="F218" s="4" t="s">
        <x:v>2092</x:v>
      </x:c>
      <x:c r="G218" s="5" t="s">
        <x:v>2093</x:v>
      </x:c>
      <x:c r="H218" s="6" t="s">
        <x:v>2094</x:v>
      </x:c>
      <x:c r="I218" s="6" t="s">
        <x:v>1204</x:v>
      </x:c>
      <x:c r="J218" s="7" t="str">
        <x:f t="shared" si="6"/>
        <x:v>纯绿猛袭</x:v>
      </x:c>
      <x:c r="K218" s="7" t="str">
        <x:f t="shared" si="7"/>
        <x:v>APPROVED</x:v>
      </x:c>
      <x:c r="L218" s="4" t="s">
        <x:v>2095</x:v>
      </x:c>
    </x:row>
    <x:row r="219" ht="22.5" customHeight="1">
      <x:c r="A219" s="4" t="s">
        <x:v>15</x:v>
      </x:c>
      <x:c r="B219" s="4" t="s">
        <x:v>2096</x:v>
      </x:c>
      <x:c r="C219" s="4"/>
      <x:c r="D219" s="4" t="s">
        <x:v>2097</x:v>
      </x:c>
      <x:c r="E219" s="4"/>
      <x:c r="F219" s="4" t="s">
        <x:v>2097</x:v>
      </x:c>
      <x:c r="G219" s="5" t="s">
        <x:v>2098</x:v>
      </x:c>
      <x:c r="H219" s="6" t="s">
        <x:v>2099</x:v>
      </x:c>
      <x:c r="I219" s="6" t="s">
        <x:v>1204</x:v>
      </x:c>
      <x:c r="J219" s="7" t="str">
        <x:f t="shared" si="6"/>
        <x:v>奥札奇蔓蛇</x:v>
      </x:c>
      <x:c r="K219" s="7" t="str">
        <x:f t="shared" si="7"/>
        <x:v>APPROVED</x:v>
      </x:c>
      <x:c r="L219" s="4" t="s">
        <x:v>2100</x:v>
      </x:c>
    </x:row>
    <x:row r="220" ht="22.5" customHeight="1">
      <x:c r="A220" s="4" t="s">
        <x:v>15</x:v>
      </x:c>
      <x:c r="B220" s="4" t="s">
        <x:v>2101</x:v>
      </x:c>
      <x:c r="C220" s="4"/>
      <x:c r="D220" s="4" t="s">
        <x:v>2102</x:v>
      </x:c>
      <x:c r="E220" s="4"/>
      <x:c r="F220" s="4" t="s">
        <x:v>2102</x:v>
      </x:c>
      <x:c r="G220" s="5" t="s">
        <x:v>2103</x:v>
      </x:c>
      <x:c r="H220" s="6" t="s">
        <x:v>2104</x:v>
      </x:c>
      <x:c r="I220" s="6" t="s">
        <x:v>1204</x:v>
      </x:c>
      <x:c r="J220" s="7" t="str">
        <x:f t="shared" si="6"/>
        <x:v>红蓝风暴</x:v>
      </x:c>
      <x:c r="K220" s="7" t="str">
        <x:f t="shared" si="7"/>
        <x:v>APPROVED</x:v>
      </x:c>
      <x:c r="L220" s="4" t="s">
        <x:v>2105</x:v>
      </x:c>
    </x:row>
    <x:row r="221" ht="22.5" customHeight="1">
      <x:c r="A221" s="4" t="s">
        <x:v>15</x:v>
      </x:c>
      <x:c r="B221" s="4" t="s">
        <x:v>2106</x:v>
      </x:c>
      <x:c r="C221" s="4"/>
      <x:c r="D221" s="4" t="s">
        <x:v>690</x:v>
      </x:c>
      <x:c r="E221" s="4"/>
      <x:c r="F221" s="4" t="s">
        <x:v>690</x:v>
      </x:c>
      <x:c r="G221" s="5" t="s">
        <x:v>2107</x:v>
      </x:c>
      <x:c r="H221" s="6" t="s">
        <x:v>2108</x:v>
      </x:c>
      <x:c r="I221" s="6" t="s">
        <x:v>1204</x:v>
      </x:c>
      <x:c r="J221" s="7" t="str">
        <x:f t="shared" si="6"/>
        <x:v>红宝石风暴</x:v>
      </x:c>
      <x:c r="K221" s="7" t="str">
        <x:f t="shared" si="7"/>
        <x:v>APPROVED</x:v>
      </x:c>
      <x:c r="L221" s="4" t="s">
        <x:v>2109</x:v>
      </x:c>
    </x:row>
    <x:row r="222" ht="22.5" customHeight="1">
      <x:c r="A222" s="9" t="s">
        <x:v>15</x:v>
      </x:c>
      <x:c r="B222" s="9" t="s">
        <x:v>2110</x:v>
      </x:c>
      <x:c r="C222" s="9"/>
      <x:c r="D222" s="9" t="s">
        <x:v>726</x:v>
      </x:c>
      <x:c r="E222" s="9"/>
      <x:c r="F222" s="9" t="s">
        <x:v>726</x:v>
      </x:c>
      <x:c r="G222" s="10" t="s">
        <x:v>2111</x:v>
      </x:c>
      <x:c r="H222" s="14" t="s">
        <x:v>2111</x:v>
      </x:c>
      <x:c r="I222" s="11" t="s">
        <x:v>1204</x:v>
      </x:c>
      <x:c r="J222" s="12" t="str">
        <x:f t="shared" si="6"/>
        <x:v>走骨</x:v>
      </x:c>
      <x:c r="K222" s="12" t="str">
        <x:f t="shared" si="7"/>
        <x:v>APPROVED</x:v>
      </x:c>
      <x:c r="L222" s="13" t="s">
        <x:v>2112</x:v>
      </x:c>
    </x:row>
    <x:row r="223" ht="22.5" customHeight="1">
      <x:c r="A223" s="4" t="s">
        <x:v>15</x:v>
      </x:c>
      <x:c r="B223" s="4" t="s">
        <x:v>2110</x:v>
      </x:c>
      <x:c r="C223" s="4" t="s">
        <x:v>1935</x:v>
      </x:c>
      <x:c r="D223" s="4" t="s">
        <x:v>726</x:v>
      </x:c>
      <x:c r="E223" s="4" t="s">
        <x:v>1936</x:v>
      </x:c>
      <x:c r="F223" s="4" t="s">
        <x:v>2113</x:v>
      </x:c>
      <x:c r="G223" s="5" t="s">
        <x:v>2114</x:v>
      </x:c>
      <x:c r="H223" s="8" t="s">
        <x:v>2115</x:v>
      </x:c>
      <x:c r="I223" s="6" t="s">
        <x:v>1204</x:v>
      </x:c>
      <x:c r="J223" s="7" t="str">
        <x:f t="shared" si="6"/>
        <x:v>四色走骨</x:v>
      </x:c>
      <x:c r="K223" s="7" t="str">
        <x:f t="shared" si="7"/>
        <x:v>APPROVED</x:v>
      </x:c>
      <x:c r="L223" s="4" t="s">
        <x:v>2116</x:v>
      </x:c>
    </x:row>
    <x:row r="224" ht="22.5" customHeight="1">
      <x:c r="A224" s="4" t="s">
        <x:v>15</x:v>
      </x:c>
      <x:c r="B224" s="4" t="s">
        <x:v>2110</x:v>
      </x:c>
      <x:c r="C224" s="4" t="s">
        <x:v>1553</x:v>
      </x:c>
      <x:c r="D224" s="4" t="s">
        <x:v>726</x:v>
      </x:c>
      <x:c r="E224" s="4" t="s">
        <x:v>1554</x:v>
      </x:c>
      <x:c r="F224" s="4" t="s">
        <x:v>2117</x:v>
      </x:c>
      <x:c r="G224" s="5" t="s">
        <x:v>2118</x:v>
      </x:c>
      <x:c r="H224" s="8" t="s">
        <x:v>2119</x:v>
      </x:c>
      <x:c r="I224" s="6" t="s">
        <x:v>1204</x:v>
      </x:c>
      <x:c r="J224" s="7" t="str">
        <x:f t="shared" si="6"/>
        <x:v>铁木尔走骨</x:v>
      </x:c>
      <x:c r="K224" s="7" t="str">
        <x:f t="shared" si="7"/>
        <x:v>APPROVED</x:v>
      </x:c>
      <x:c r="L224" s="4" t="s">
        <x:v>2120</x:v>
      </x:c>
    </x:row>
    <x:row r="225" ht="22.5" customHeight="1">
      <x:c r="A225" s="4" t="s">
        <x:v>15</x:v>
      </x:c>
      <x:c r="B225" s="4" t="s">
        <x:v>2110</x:v>
      </x:c>
      <x:c r="C225" s="4" t="s">
        <x:v>1978</x:v>
      </x:c>
      <x:c r="D225" s="4" t="s">
        <x:v>726</x:v>
      </x:c>
      <x:c r="E225" s="4" t="s">
        <x:v>1979</x:v>
      </x:c>
      <x:c r="F225" s="4" t="s">
        <x:v>2121</x:v>
      </x:c>
      <x:c r="G225" s="5" t="s">
        <x:v>2122</x:v>
      </x:c>
      <x:c r="H225" s="8" t="s">
        <x:v>2123</x:v>
      </x:c>
      <x:c r="I225" s="6" t="s">
        <x:v>1204</x:v>
      </x:c>
      <x:c r="J225" s="7" t="str">
        <x:f t="shared" si="6"/>
        <x:v>苏勒台走骨</x:v>
      </x:c>
      <x:c r="K225" s="7" t="str">
        <x:f t="shared" si="7"/>
        <x:v>APPROVED</x:v>
      </x:c>
      <x:c r="L225" s="4" t="s">
        <x:v>2124</x:v>
      </x:c>
    </x:row>
    <x:row r="226" ht="22.5" customHeight="1">
      <x:c r="A226" s="4" t="s">
        <x:v>15</x:v>
      </x:c>
      <x:c r="B226" s="4" t="s">
        <x:v>2110</x:v>
      </x:c>
      <x:c r="C226" s="4" t="s">
        <x:v>1559</x:v>
      </x:c>
      <x:c r="D226" s="4" t="s">
        <x:v>726</x:v>
      </x:c>
      <x:c r="E226" s="4" t="s">
        <x:v>1560</x:v>
      </x:c>
      <x:c r="F226" s="4" t="s">
        <x:v>2125</x:v>
      </x:c>
      <x:c r="G226" s="5" t="s">
        <x:v>2126</x:v>
      </x:c>
      <x:c r="H226" s="8" t="s">
        <x:v>2127</x:v>
      </x:c>
      <x:c r="I226" s="6" t="s">
        <x:v>1204</x:v>
      </x:c>
      <x:c r="J226" s="7" t="str">
        <x:f t="shared" si="6"/>
        <x:v>班特走骨</x:v>
      </x:c>
      <x:c r="K226" s="7" t="str">
        <x:f t="shared" si="7"/>
        <x:v>APPROVED</x:v>
      </x:c>
      <x:c r="L226" s="4" t="s">
        <x:v>2128</x:v>
      </x:c>
    </x:row>
    <x:row r="227" ht="22.5" customHeight="1">
      <x:c r="A227" s="4" t="s">
        <x:v>15</x:v>
      </x:c>
      <x:c r="B227" s="4" t="s">
        <x:v>2110</x:v>
      </x:c>
      <x:c r="C227" s="4" t="s">
        <x:v>1426</x:v>
      </x:c>
      <x:c r="D227" s="4" t="s">
        <x:v>726</x:v>
      </x:c>
      <x:c r="E227" s="4" t="s">
        <x:v>1427</x:v>
      </x:c>
      <x:c r="F227" s="4" t="s">
        <x:v>2129</x:v>
      </x:c>
      <x:c r="G227" s="5" t="s">
        <x:v>2130</x:v>
      </x:c>
      <x:c r="H227" s="6" t="s">
        <x:v>2131</x:v>
      </x:c>
      <x:c r="I227" s="6" t="s">
        <x:v>1204</x:v>
      </x:c>
      <x:c r="J227" s="7" t="str">
        <x:f t="shared" si="6"/>
        <x:v>红黑走骨</x:v>
      </x:c>
      <x:c r="K227" s="7" t="str">
        <x:f t="shared" si="7"/>
        <x:v>APPROVED</x:v>
      </x:c>
      <x:c r="L227" s="4" t="s">
        <x:v>2132</x:v>
      </x:c>
    </x:row>
    <x:row r="228" ht="22.5" customHeight="1">
      <x:c r="A228" s="4" t="s">
        <x:v>15</x:v>
      </x:c>
      <x:c r="B228" s="4" t="s">
        <x:v>2133</x:v>
      </x:c>
      <x:c r="C228" s="4"/>
      <x:c r="D228" s="4" t="s">
        <x:v>650</x:v>
      </x:c>
      <x:c r="E228" s="4"/>
      <x:c r="F228" s="4" t="s">
        <x:v>650</x:v>
      </x:c>
      <x:c r="G228" s="5" t="s">
        <x:v>2134</x:v>
      </x:c>
      <x:c r="H228" s="6" t="s">
        <x:v>2134</x:v>
      </x:c>
      <x:c r="I228" s="6" t="s">
        <x:v>1204</x:v>
      </x:c>
      <x:c r="J228" s="7" t="str">
        <x:f t="shared" si="6"/>
        <x:v>蓝黑磨牌库</x:v>
      </x:c>
      <x:c r="K228" s="7" t="str">
        <x:f t="shared" si="7"/>
        <x:v>APPROVED</x:v>
      </x:c>
      <x:c r="L228" s="4" t="s">
        <x:v>2135</x:v>
      </x:c>
    </x:row>
    <x:row r="229" ht="22.5" customHeight="1">
      <x:c r="A229" s="4" t="s">
        <x:v>15</x:v>
      </x:c>
      <x:c r="B229" s="4" t="s">
        <x:v>2136</x:v>
      </x:c>
      <x:c r="C229" s="4"/>
      <x:c r="D229" s="4" t="s">
        <x:v>762</x:v>
      </x:c>
      <x:c r="E229" s="4"/>
      <x:c r="F229" s="4" t="s">
        <x:v>762</x:v>
      </x:c>
      <x:c r="G229" s="5" t="s">
        <x:v>2137</x:v>
      </x:c>
      <x:c r="H229" s="6" t="s">
        <x:v>2138</x:v>
      </x:c>
      <x:c r="I229" s="6" t="s">
        <x:v>1204</x:v>
      </x:c>
      <x:c r="J229" s="7" t="str">
        <x:f t="shared" si="6"/>
        <x:v>一新棘泽边</x:v>
      </x:c>
      <x:c r="K229" s="7" t="str">
        <x:f t="shared" si="7"/>
        <x:v>APPROVED</x:v>
      </x:c>
      <x:c r="L229" s="4" t="s">
        <x:v>2139</x:v>
      </x:c>
    </x:row>
    <x:row r="230" ht="22.5" customHeight="1">
      <x:c r="A230" s="4" t="s">
        <x:v>15</x:v>
      </x:c>
      <x:c r="B230" s="4" t="s">
        <x:v>2140</x:v>
      </x:c>
      <x:c r="C230" s="4"/>
      <x:c r="D230" s="4" t="s">
        <x:v>2141</x:v>
      </x:c>
      <x:c r="E230" s="4"/>
      <x:c r="F230" s="4" t="s">
        <x:v>2141</x:v>
      </x:c>
      <x:c r="G230" s="5" t="s">
        <x:v>2142</x:v>
      </x:c>
      <x:c r="H230" s="6" t="s">
        <x:v>2142</x:v>
      </x:c>
      <x:c r="I230" s="6" t="s">
        <x:v>1204</x:v>
      </x:c>
      <x:c r="J230" s="7" t="str">
        <x:f t="shared" si="6"/>
        <x:v>发掘</x:v>
      </x:c>
      <x:c r="K230" s="7" t="str">
        <x:f t="shared" si="7"/>
        <x:v>APPROVED</x:v>
      </x:c>
      <x:c r="L230" s="4" t="s">
        <x:v>2143</x:v>
      </x:c>
    </x:row>
    <x:row r="231" ht="22.5" customHeight="1">
      <x:c r="A231" s="4" t="s">
        <x:v>15</x:v>
      </x:c>
      <x:c r="B231" s="4" t="s">
        <x:v>2144</x:v>
      </x:c>
      <x:c r="C231" s="4"/>
      <x:c r="D231" s="4" t="s">
        <x:v>2145</x:v>
      </x:c>
      <x:c r="E231" s="4"/>
      <x:c r="F231" s="4" t="s">
        <x:v>2145</x:v>
      </x:c>
      <x:c r="G231" s="5" t="s">
        <x:v>2146</x:v>
      </x:c>
      <x:c r="H231" s="6" t="s">
        <x:v>2147</x:v>
      </x:c>
      <x:c r="I231" s="6" t="s">
        <x:v>1204</x:v>
      </x:c>
      <x:c r="J231" s="7" t="str">
        <x:f t="shared" si="6"/>
        <x:v>红蓝凤凰</x:v>
      </x:c>
      <x:c r="K231" s="7" t="str">
        <x:f t="shared" si="7"/>
        <x:v>APPROVED</x:v>
      </x:c>
      <x:c r="L231" s="4" t="s">
        <x:v>2148</x:v>
      </x:c>
    </x:row>
    <x:row r="232" ht="22.5" customHeight="1">
      <x:c r="A232" s="9" t="s">
        <x:v>15</x:v>
      </x:c>
      <x:c r="B232" s="9" t="s">
        <x:v>2149</x:v>
      </x:c>
      <x:c r="C232" s="9"/>
      <x:c r="D232" s="9" t="s">
        <x:v>2150</x:v>
      </x:c>
      <x:c r="E232" s="9"/>
      <x:c r="F232" s="9" t="s">
        <x:v>2150</x:v>
      </x:c>
      <x:c r="G232" s="10" t="s">
        <x:v>2151</x:v>
      </x:c>
      <x:c r="H232" s="14" t="s">
        <x:v>2151</x:v>
      </x:c>
      <x:c r="I232" s="11" t="s">
        <x:v>1204</x:v>
      </x:c>
      <x:c r="J232" s="12" t="str">
        <x:f t="shared" si="6"/>
        <x:v>烧</x:v>
      </x:c>
      <x:c r="K232" s="12" t="str">
        <x:f t="shared" si="7"/>
        <x:v>APPROVED</x:v>
      </x:c>
      <x:c r="L232" s="13" t="s">
        <x:v>2152</x:v>
      </x:c>
    </x:row>
    <x:row r="233" ht="22.5" customHeight="1">
      <x:c r="A233" s="4" t="s">
        <x:v>15</x:v>
      </x:c>
      <x:c r="B233" s="4" t="s">
        <x:v>2149</x:v>
      </x:c>
      <x:c r="C233" s="4" t="s">
        <x:v>1227</x:v>
      </x:c>
      <x:c r="D233" s="4" t="s">
        <x:v>2150</x:v>
      </x:c>
      <x:c r="E233" s="4" t="s">
        <x:v>1228</x:v>
      </x:c>
      <x:c r="F233" s="4" t="s">
        <x:v>1386</x:v>
      </x:c>
      <x:c r="G233" s="5" t="s">
        <x:v>1387</x:v>
      </x:c>
      <x:c r="H233" s="8" t="s">
        <x:v>1387</x:v>
      </x:c>
      <x:c r="I233" s="6" t="s">
        <x:v>1204</x:v>
      </x:c>
      <x:c r="J233" s="7" t="str">
        <x:f t="shared" si="6"/>
        <x:v>红白烧</x:v>
      </x:c>
      <x:c r="K233" s="7" t="str">
        <x:f t="shared" si="7"/>
        <x:v>APPROVED</x:v>
      </x:c>
      <x:c r="L233" s="4" t="s">
        <x:v>2153</x:v>
      </x:c>
    </x:row>
    <x:row r="234" ht="22.5" customHeight="1">
      <x:c r="A234" s="4" t="s">
        <x:v>15</x:v>
      </x:c>
      <x:c r="B234" s="4" t="s">
        <x:v>2149</x:v>
      </x:c>
      <x:c r="C234" s="4" t="s">
        <x:v>1426</x:v>
      </x:c>
      <x:c r="D234" s="4" t="s">
        <x:v>2150</x:v>
      </x:c>
      <x:c r="E234" s="4" t="s">
        <x:v>1427</x:v>
      </x:c>
      <x:c r="F234" s="4" t="s">
        <x:v>2154</x:v>
      </x:c>
      <x:c r="G234" s="5" t="s">
        <x:v>2155</x:v>
      </x:c>
      <x:c r="H234" s="8" t="s">
        <x:v>2155</x:v>
      </x:c>
      <x:c r="I234" s="6" t="s">
        <x:v>1204</x:v>
      </x:c>
      <x:c r="J234" s="7" t="str">
        <x:f t="shared" si="6"/>
        <x:v>红黑烧</x:v>
      </x:c>
      <x:c r="K234" s="7" t="str">
        <x:f t="shared" si="7"/>
        <x:v>APPROVED</x:v>
      </x:c>
      <x:c r="L234" s="4" t="s">
        <x:v>2156</x:v>
      </x:c>
    </x:row>
    <x:row r="235" ht="22.5" customHeight="1">
      <x:c r="A235" s="4" t="s">
        <x:v>15</x:v>
      </x:c>
      <x:c r="B235" s="4" t="s">
        <x:v>2149</x:v>
      </x:c>
      <x:c r="C235" s="4" t="s">
        <x:v>1432</x:v>
      </x:c>
      <x:c r="D235" s="4" t="s">
        <x:v>2150</x:v>
      </x:c>
      <x:c r="E235" s="4" t="s">
        <x:v>1433</x:v>
      </x:c>
      <x:c r="F235" s="4" t="s">
        <x:v>1711</x:v>
      </x:c>
      <x:c r="G235" s="5" t="s">
        <x:v>1712</x:v>
      </x:c>
      <x:c r="H235" s="8" t="s">
        <x:v>1712</x:v>
      </x:c>
      <x:c r="I235" s="6" t="s">
        <x:v>1204</x:v>
      </x:c>
      <x:c r="J235" s="7" t="str">
        <x:f t="shared" si="6"/>
        <x:v>纯红烧</x:v>
      </x:c>
      <x:c r="K235" s="7" t="str">
        <x:f t="shared" si="7"/>
        <x:v>APPROVED</x:v>
      </x:c>
      <x:c r="L235" s="4" t="s">
        <x:v>2157</x:v>
      </x:c>
    </x:row>
    <x:row r="236" ht="22.5" customHeight="1">
      <x:c r="A236" s="4" t="s">
        <x:v>15</x:v>
      </x:c>
      <x:c r="B236" s="4" t="s">
        <x:v>2158</x:v>
      </x:c>
      <x:c r="C236" s="4"/>
      <x:c r="D236" s="4" t="s">
        <x:v>2159</x:v>
      </x:c>
      <x:c r="E236" s="4"/>
      <x:c r="F236" s="4" t="s">
        <x:v>2159</x:v>
      </x:c>
      <x:c r="G236" s="5" t="s">
        <x:v>2160</x:v>
      </x:c>
      <x:c r="H236" s="8" t="s">
        <x:v>2161</x:v>
      </x:c>
      <x:c r="I236" s="6" t="s">
        <x:v>1204</x:v>
      </x:c>
      <x:c r="J236" s="7" t="str">
        <x:f t="shared" si="6"/>
        <x:v>铁木尔复归</x:v>
      </x:c>
      <x:c r="K236" s="7" t="str">
        <x:f t="shared" si="7"/>
        <x:v>APPROVED</x:v>
      </x:c>
      <x:c r="L236" s="4" t="s">
        <x:v>2162</x:v>
      </x:c>
    </x:row>
    <x:row r="237" ht="22.5" customHeight="1">
      <x:c r="A237" s="4" t="s">
        <x:v>15</x:v>
      </x:c>
      <x:c r="B237" s="4" t="s">
        <x:v>2163</x:v>
      </x:c>
      <x:c r="C237" s="4"/>
      <x:c r="D237" s="4" t="s">
        <x:v>2164</x:v>
      </x:c>
      <x:c r="E237" s="4"/>
      <x:c r="F237" s="4" t="s">
        <x:v>2164</x:v>
      </x:c>
      <x:c r="G237" s="5" t="s">
        <x:v>2165</x:v>
      </x:c>
      <x:c r="H237" s="8" t="s">
        <x:v>2166</x:v>
      </x:c>
      <x:c r="I237" s="6" t="s">
        <x:v>1204</x:v>
      </x:c>
      <x:c r="J237" s="7" t="str">
        <x:f t="shared" si="6"/>
        <x:v>班特复归</x:v>
      </x:c>
      <x:c r="K237" s="7" t="str">
        <x:f t="shared" si="7"/>
        <x:v>APPROVED</x:v>
      </x:c>
      <x:c r="L237" s="4" t="s">
        <x:v>2167</x:v>
      </x:c>
    </x:row>
    <x:row r="238" ht="22.5" customHeight="1">
      <x:c r="A238" s="9" t="s">
        <x:v>15</x:v>
      </x:c>
      <x:c r="B238" s="9" t="s">
        <x:v>2168</x:v>
      </x:c>
      <x:c r="C238" s="9"/>
      <x:c r="D238" s="9" t="s">
        <x:v>971</x:v>
      </x:c>
      <x:c r="E238" s="9"/>
      <x:c r="F238" s="9" t="s">
        <x:v>971</x:v>
      </x:c>
      <x:c r="G238" s="10" t="s">
        <x:v>2169</x:v>
      </x:c>
      <x:c r="H238" s="14" t="s">
        <x:v>2170</x:v>
      </x:c>
      <x:c r="I238" s="11" t="s">
        <x:v>1204</x:v>
      </x:c>
      <x:c r="J238" s="12" t="str">
        <x:f t="shared" si="6"/>
        <x:v>吟颂控制</x:v>
      </x:c>
      <x:c r="K238" s="12" t="str">
        <x:f t="shared" si="7"/>
        <x:v>APPROVED</x:v>
      </x:c>
      <x:c r="L238" s="13" t="s">
        <x:v>2171</x:v>
      </x:c>
    </x:row>
    <x:row r="239" ht="22.5" customHeight="1">
      <x:c r="A239" s="4" t="s">
        <x:v>15</x:v>
      </x:c>
      <x:c r="B239" s="4" t="s">
        <x:v>2168</x:v>
      </x:c>
      <x:c r="C239" s="4" t="s">
        <x:v>1482</x:v>
      </x:c>
      <x:c r="D239" s="4" t="s">
        <x:v>971</x:v>
      </x:c>
      <x:c r="E239" s="4" t="s">
        <x:v>1483</x:v>
      </x:c>
      <x:c r="F239" s="4" t="s">
        <x:v>2172</x:v>
      </x:c>
      <x:c r="G239" s="5" t="s">
        <x:v>2173</x:v>
      </x:c>
      <x:c r="H239" s="8" t="s">
        <x:v>2174</x:v>
      </x:c>
      <x:c r="I239" s="6" t="s">
        <x:v>1204</x:v>
      </x:c>
      <x:c r="J239" s="7" t="str">
        <x:f t="shared" si="6"/>
        <x:v>洁斯凯吟颂</x:v>
      </x:c>
      <x:c r="K239" s="7" t="str">
        <x:f t="shared" si="7"/>
        <x:v>APPROVED</x:v>
      </x:c>
      <x:c r="L239" s="4" t="s">
        <x:v>2175</x:v>
      </x:c>
    </x:row>
    <x:row r="240" ht="22.5" customHeight="1">
      <x:c r="A240" s="4" t="s">
        <x:v>15</x:v>
      </x:c>
      <x:c r="B240" s="4" t="s">
        <x:v>2168</x:v>
      </x:c>
      <x:c r="C240" s="4" t="s">
        <x:v>2176</x:v>
      </x:c>
      <x:c r="D240" s="4" t="s">
        <x:v>971</x:v>
      </x:c>
      <x:c r="E240" s="4" t="s">
        <x:v>2177</x:v>
      </x:c>
      <x:c r="F240" s="4" t="s">
        <x:v>2178</x:v>
      </x:c>
      <x:c r="G240" s="5" t="s">
        <x:v>2179</x:v>
      </x:c>
      <x:c r="H240" s="8" t="s">
        <x:v>2180</x:v>
      </x:c>
      <x:c r="I240" s="6" t="s">
        <x:v>1204</x:v>
      </x:c>
      <x:c r="J240" s="7" t="str">
        <x:f t="shared" si="6"/>
        <x:v>蓝白吟颂</x:v>
      </x:c>
      <x:c r="K240" s="7" t="str">
        <x:f t="shared" si="7"/>
        <x:v>APPROVED</x:v>
      </x:c>
      <x:c r="L240" s="4" t="s">
        <x:v>2181</x:v>
      </x:c>
    </x:row>
    <x:row r="241" ht="22.5" customHeight="1">
      <x:c r="A241" s="4" t="s">
        <x:v>15</x:v>
      </x:c>
      <x:c r="B241" s="4" t="s">
        <x:v>1289</x:v>
      </x:c>
      <x:c r="C241" s="4"/>
      <x:c r="D241" s="4" t="s">
        <x:v>1290</x:v>
      </x:c>
      <x:c r="E241" s="4"/>
      <x:c r="F241" s="4" t="s">
        <x:v>1290</x:v>
      </x:c>
      <x:c r="G241" s="5" t="s">
        <x:v>1291</x:v>
      </x:c>
      <x:c r="H241" s="6" t="s">
        <x:v>1291</x:v>
      </x:c>
      <x:c r="I241" s="6" t="s">
        <x:v>1204</x:v>
      </x:c>
      <x:c r="J241" s="7" t="str">
        <x:f t="shared" si="6"/>
        <x:v>洁斯凯控制</x:v>
      </x:c>
      <x:c r="K241" s="7" t="str">
        <x:f t="shared" si="7"/>
        <x:v>APPROVED</x:v>
      </x:c>
      <x:c r="L241" s="4" t="s">
        <x:v>2182</x:v>
      </x:c>
    </x:row>
    <x:row r="242" ht="22.5" customHeight="1">
      <x:c r="A242" s="4" t="s">
        <x:v>15</x:v>
      </x:c>
      <x:c r="B242" s="4" t="s">
        <x:v>1355</x:v>
      </x:c>
      <x:c r="C242" s="4"/>
      <x:c r="D242" s="4" t="s">
        <x:v>1356</x:v>
      </x:c>
      <x:c r="E242" s="4"/>
      <x:c r="F242" s="4" t="s">
        <x:v>1356</x:v>
      </x:c>
      <x:c r="G242" s="5" t="s">
        <x:v>1357</x:v>
      </x:c>
      <x:c r="H242" s="8" t="s">
        <x:v>1357</x:v>
      </x:c>
      <x:c r="I242" s="6" t="s">
        <x:v>1204</x:v>
      </x:c>
      <x:c r="J242" s="7" t="str">
        <x:f t="shared" si="6"/>
        <x:v>蓝白控制</x:v>
      </x:c>
      <x:c r="K242" s="7" t="str">
        <x:f t="shared" si="7"/>
        <x:v>APPROVED</x:v>
      </x:c>
      <x:c r="L242" s="4" t="s">
        <x:v>2183</x:v>
      </x:c>
    </x:row>
    <x:row r="243" ht="22.5" customHeight="1">
      <x:c r="A243" s="9" t="s">
        <x:v>15</x:v>
      </x:c>
      <x:c r="B243" s="9" t="s">
        <x:v>2184</x:v>
      </x:c>
      <x:c r="C243" s="9"/>
      <x:c r="D243" s="9" t="s">
        <x:v>749</x:v>
      </x:c>
      <x:c r="E243" s="9"/>
      <x:c r="F243" s="9" t="s">
        <x:v>749</x:v>
      </x:c>
      <x:c r="G243" s="10" t="s">
        <x:v>2185</x:v>
      </x:c>
      <x:c r="H243" s="14" t="s">
        <x:v>2186</x:v>
      </x:c>
      <x:c r="I243" s="11" t="s">
        <x:v>1204</x:v>
      </x:c>
      <x:c r="J243" s="12" t="str">
        <x:f t="shared" si="6"/>
        <x:v>死冥霸权</x:v>
      </x:c>
      <x:c r="K243" s="12" t="str">
        <x:f t="shared" si="7"/>
        <x:v>APPROVED</x:v>
      </x:c>
      <x:c r="L243" s="13" t="s">
        <x:v>2187</x:v>
      </x:c>
    </x:row>
    <x:row r="244" ht="22.5" customHeight="1">
      <x:c r="A244" s="4" t="s">
        <x:v>15</x:v>
      </x:c>
      <x:c r="B244" s="4" t="s">
        <x:v>2184</x:v>
      </x:c>
      <x:c r="C244" s="4" t="s">
        <x:v>2009</x:v>
      </x:c>
      <x:c r="D244" s="4" t="s">
        <x:v>749</x:v>
      </x:c>
      <x:c r="E244" s="4" t="s">
        <x:v>2010</x:v>
      </x:c>
      <x:c r="F244" s="4" t="s">
        <x:v>2188</x:v>
      </x:c>
      <x:c r="G244" s="5" t="s">
        <x:v>2189</x:v>
      </x:c>
      <x:c r="H244" s="6" t="s">
        <x:v>2189</x:v>
      </x:c>
      <x:c r="I244" s="6" t="s">
        <x:v>1204</x:v>
      </x:c>
      <x:c r="J244" s="7" t="str">
        <x:f t="shared" si="6"/>
        <x:v>黑绿死冥</x:v>
      </x:c>
      <x:c r="K244" s="7" t="str">
        <x:f t="shared" si="7"/>
        <x:v>APPROVED</x:v>
      </x:c>
      <x:c r="L244" s="4" t="s">
        <x:v>2190</x:v>
      </x:c>
    </x:row>
    <x:row r="245" ht="22.5" customHeight="1">
      <x:c r="A245" s="4" t="s">
        <x:v>15</x:v>
      </x:c>
      <x:c r="B245" s="4" t="s">
        <x:v>2184</x:v>
      </x:c>
      <x:c r="C245" s="4" t="s">
        <x:v>2191</x:v>
      </x:c>
      <x:c r="D245" s="4" t="s">
        <x:v>749</x:v>
      </x:c>
      <x:c r="E245" s="4" t="s">
        <x:v>2192</x:v>
      </x:c>
      <x:c r="F245" s="4" t="s">
        <x:v>2193</x:v>
      </x:c>
      <x:c r="G245" s="5" t="s">
        <x:v>2194</x:v>
      </x:c>
      <x:c r="H245" s="8" t="s">
        <x:v>2194</x:v>
      </x:c>
      <x:c r="I245" s="6" t="s">
        <x:v>1204</x:v>
      </x:c>
      <x:c r="J245" s="7" t="str">
        <x:f t="shared" si="6"/>
        <x:v>蓝黑死冥</x:v>
      </x:c>
      <x:c r="K245" s="7" t="str">
        <x:f t="shared" si="7"/>
        <x:v>APPROVED</x:v>
      </x:c>
      <x:c r="L245" s="4" t="s">
        <x:v>2195</x:v>
      </x:c>
    </x:row>
    <x:row r="246" ht="22.5" customHeight="1">
      <x:c r="A246" s="4" t="s">
        <x:v>15</x:v>
      </x:c>
      <x:c r="B246" s="4" t="s">
        <x:v>2184</x:v>
      </x:c>
      <x:c r="C246" s="4" t="s">
        <x:v>1426</x:v>
      </x:c>
      <x:c r="D246" s="4" t="s">
        <x:v>749</x:v>
      </x:c>
      <x:c r="E246" s="4" t="s">
        <x:v>1427</x:v>
      </x:c>
      <x:c r="F246" s="4" t="s">
        <x:v>2196</x:v>
      </x:c>
      <x:c r="G246" s="5" t="s">
        <x:v>2197</x:v>
      </x:c>
      <x:c r="H246" s="8" t="s">
        <x:v>2197</x:v>
      </x:c>
      <x:c r="I246" s="6" t="s">
        <x:v>1204</x:v>
      </x:c>
      <x:c r="J246" s="7" t="str">
        <x:f t="shared" si="6"/>
        <x:v>红黑死冥</x:v>
      </x:c>
      <x:c r="K246" s="7" t="str">
        <x:f t="shared" si="7"/>
        <x:v>APPROVED</x:v>
      </x:c>
      <x:c r="L246" s="4" t="s">
        <x:v>2198</x:v>
      </x:c>
    </x:row>
    <x:row r="247" ht="22.5" customHeight="1">
      <x:c r="A247" s="4" t="s">
        <x:v>15</x:v>
      </x:c>
      <x:c r="B247" s="4" t="s">
        <x:v>2184</x:v>
      </x:c>
      <x:c r="C247" s="4" t="s">
        <x:v>2032</x:v>
      </x:c>
      <x:c r="D247" s="4" t="s">
        <x:v>749</x:v>
      </x:c>
      <x:c r="E247" s="4" t="s">
        <x:v>2033</x:v>
      </x:c>
      <x:c r="F247" s="4" t="s">
        <x:v>2199</x:v>
      </x:c>
      <x:c r="G247" s="5" t="s">
        <x:v>2200</x:v>
      </x:c>
      <x:c r="H247" s="8" t="s">
        <x:v>2200</x:v>
      </x:c>
      <x:c r="I247" s="6" t="s">
        <x:v>1204</x:v>
      </x:c>
      <x:c r="J247" s="7" t="str">
        <x:f t="shared" si="6"/>
        <x:v>纯黑死冥</x:v>
      </x:c>
      <x:c r="K247" s="7" t="str">
        <x:f t="shared" si="7"/>
        <x:v>APPROVED</x:v>
      </x:c>
      <x:c r="L247" s="4" t="s">
        <x:v>2201</x:v>
      </x:c>
    </x:row>
    <x:row r="248" ht="22.5" customHeight="1">
      <x:c r="A248" s="4" t="s">
        <x:v>15</x:v>
      </x:c>
      <x:c r="B248" s="4" t="s">
        <x:v>2184</x:v>
      </x:c>
      <x:c r="C248" s="4" t="s">
        <x:v>2202</x:v>
      </x:c>
      <x:c r="D248" s="4" t="s">
        <x:v>749</x:v>
      </x:c>
      <x:c r="E248" s="4" t="s">
        <x:v>2203</x:v>
      </x:c>
      <x:c r="F248" s="4" t="s">
        <x:v>2203</x:v>
      </x:c>
      <x:c r="G248" s="5" t="s">
        <x:v>2204</x:v>
      </x:c>
      <x:c r="H248" s="8" t="s">
        <x:v>2205</x:v>
      </x:c>
      <x:c r="I248" s="6" t="s">
        <x:v>1204</x:v>
      </x:c>
      <x:c r="J248" s="7" t="str">
        <x:f t="shared" si="6"/>
        <x:v>耶夫死冥</x:v>
      </x:c>
      <x:c r="K248" s="7" t="str">
        <x:f t="shared" si="7"/>
        <x:v>APPROVED</x:v>
      </x:c>
      <x:c r="L248" s="4" t="s">
        <x:v>2206</x:v>
      </x:c>
    </x:row>
    <x:row r="249" ht="22.5" customHeight="1">
      <x:c r="A249" s="9" t="s">
        <x:v>15</x:v>
      </x:c>
      <x:c r="B249" s="9" t="s">
        <x:v>2207</x:v>
      </x:c>
      <x:c r="C249" s="9"/>
      <x:c r="D249" s="9" t="s">
        <x:v>2208</x:v>
      </x:c>
      <x:c r="E249" s="9"/>
      <x:c r="F249" s="9" t="s">
        <x:v>2208</x:v>
      </x:c>
      <x:c r="G249" s="10" t="s">
        <x:v>2209</x:v>
      </x:c>
      <x:c r="H249" s="14" t="s">
        <x:v>2210</x:v>
      </x:c>
      <x:c r="I249" s="11" t="s">
        <x:v>1204</x:v>
      </x:c>
      <x:c r="J249" s="12" t="str">
        <x:f t="shared" si="6"/>
        <x:v>大黑金库</x:v>
      </x:c>
      <x:c r="K249" s="12" t="str">
        <x:f t="shared" si="7"/>
        <x:v>APPROVED</x:v>
      </x:c>
      <x:c r="L249" s="13" t="s">
        <x:v>2211</x:v>
      </x:c>
    </x:row>
    <x:row r="250" ht="22.5" customHeight="1">
      <x:c r="A250" s="4" t="s">
        <x:v>15</x:v>
      </x:c>
      <x:c r="B250" s="4" t="s">
        <x:v>2207</x:v>
      </x:c>
      <x:c r="C250" s="4" t="s">
        <x:v>2191</x:v>
      </x:c>
      <x:c r="D250" s="4" t="s">
        <x:v>2208</x:v>
      </x:c>
      <x:c r="E250" s="4" t="s">
        <x:v>2192</x:v>
      </x:c>
      <x:c r="F250" s="4" t="s">
        <x:v>2212</x:v>
      </x:c>
      <x:c r="G250" s="5" t="s">
        <x:v>2213</x:v>
      </x:c>
      <x:c r="H250" s="6" t="s">
        <x:v>2214</x:v>
      </x:c>
      <x:c r="I250" s="6" t="s">
        <x:v>1204</x:v>
      </x:c>
      <x:c r="J250" s="7" t="str">
        <x:f t="shared" si="6"/>
        <x:v>蓝黑金库</x:v>
      </x:c>
      <x:c r="K250" s="7" t="str">
        <x:f t="shared" si="7"/>
        <x:v>APPROVED</x:v>
      </x:c>
      <x:c r="L250" s="4" t="s">
        <x:v>2215</x:v>
      </x:c>
    </x:row>
    <x:row r="251" ht="22.5" customHeight="1">
      <x:c r="A251" s="4" t="s">
        <x:v>15</x:v>
      </x:c>
      <x:c r="B251" s="4" t="s">
        <x:v>2207</x:v>
      </x:c>
      <x:c r="C251" s="4" t="s">
        <x:v>2009</x:v>
      </x:c>
      <x:c r="D251" s="4" t="s">
        <x:v>2208</x:v>
      </x:c>
      <x:c r="E251" s="4" t="s">
        <x:v>2010</x:v>
      </x:c>
      <x:c r="F251" s="4" t="s">
        <x:v>2216</x:v>
      </x:c>
      <x:c r="G251" s="5" t="s">
        <x:v>2217</x:v>
      </x:c>
      <x:c r="H251" s="6" t="s">
        <x:v>2218</x:v>
      </x:c>
      <x:c r="I251" s="6" t="s">
        <x:v>1204</x:v>
      </x:c>
      <x:c r="J251" s="7" t="str">
        <x:f t="shared" si="6"/>
        <x:v>黑绿金库</x:v>
      </x:c>
      <x:c r="K251" s="7" t="str">
        <x:f t="shared" si="7"/>
        <x:v>APPROVED</x:v>
      </x:c>
      <x:c r="L251" s="4" t="s">
        <x:v>2219</x:v>
      </x:c>
    </x:row>
    <x:row r="252" ht="22.5" customHeight="1">
      <x:c r="A252" s="4" t="s">
        <x:v>15</x:v>
      </x:c>
      <x:c r="B252" s="4" t="s">
        <x:v>2207</x:v>
      </x:c>
      <x:c r="C252" s="4" t="s">
        <x:v>2220</x:v>
      </x:c>
      <x:c r="D252" s="4" t="s">
        <x:v>2208</x:v>
      </x:c>
      <x:c r="E252" s="4" t="s">
        <x:v>2221</x:v>
      </x:c>
      <x:c r="F252" s="4" t="s">
        <x:v>2222</x:v>
      </x:c>
      <x:c r="G252" s="5" t="s">
        <x:v>2223</x:v>
      </x:c>
      <x:c r="H252" s="6" t="s">
        <x:v>2224</x:v>
      </x:c>
      <x:c r="I252" s="6" t="s">
        <x:v>1204</x:v>
      </x:c>
      <x:c r="J252" s="7" t="str">
        <x:f t="shared" si="6"/>
        <x:v>乌墨理金库</x:v>
      </x:c>
      <x:c r="K252" s="7" t="str">
        <x:f t="shared" si="7"/>
        <x:v>APPROVED</x:v>
      </x:c>
      <x:c r="L252" s="4" t="s">
        <x:v>2225</x:v>
      </x:c>
    </x:row>
    <x:row r="253" ht="22.5" customHeight="1">
      <x:c r="A253" s="4" t="s">
        <x:v>15</x:v>
      </x:c>
      <x:c r="B253" s="4" t="s">
        <x:v>2226</x:v>
      </x:c>
      <x:c r="C253" s="4"/>
      <x:c r="D253" s="4" t="s">
        <x:v>2227</x:v>
      </x:c>
      <x:c r="E253" s="4"/>
      <x:c r="F253" s="4" t="s">
        <x:v>2227</x:v>
      </x:c>
      <x:c r="G253" s="5" t="s">
        <x:v>2228</x:v>
      </x:c>
      <x:c r="H253" s="8" t="s">
        <x:v>2229</x:v>
      </x:c>
      <x:c r="I253" s="6" t="s">
        <x:v>1204</x:v>
      </x:c>
      <x:c r="J253" s="7" t="str">
        <x:f t="shared" si="6"/>
        <x:v>拷问台</x:v>
      </x:c>
      <x:c r="K253" s="7" t="str">
        <x:f t="shared" si="7"/>
        <x:v>APPROVED</x:v>
      </x:c>
      <x:c r="L253" s="4" t="s">
        <x:v>2230</x:v>
      </x:c>
    </x:row>
    <x:row r="254" ht="22.5" customHeight="1">
      <x:c r="A254" s="4" t="s">
        <x:v>15</x:v>
      </x:c>
      <x:c r="B254" s="4" t="s">
        <x:v>2231</x:v>
      </x:c>
      <x:c r="C254" s="4"/>
      <x:c r="D254" s="4" t="s">
        <x:v>2232</x:v>
      </x:c>
      <x:c r="E254" s="4"/>
      <x:c r="F254" s="4" t="s">
        <x:v>2232</x:v>
      </x:c>
      <x:c r="G254" s="5" t="s">
        <x:v>2233</x:v>
      </x:c>
      <x:c r="H254" s="8" t="s">
        <x:v>2234</x:v>
      </x:c>
      <x:c r="I254" s="6" t="s">
        <x:v>1204</x:v>
      </x:c>
      <x:c r="J254" s="7" t="str">
        <x:f t="shared" si="6"/>
        <x:v>红黑名师</x:v>
      </x:c>
      <x:c r="K254" s="7" t="str">
        <x:f t="shared" si="7"/>
        <x:v>APPROVED</x:v>
      </x:c>
      <x:c r="L254" s="4" t="s">
        <x:v>2235</x:v>
      </x:c>
    </x:row>
    <x:row r="255" ht="22.5" customHeight="1">
      <x:c r="A255" s="4" t="s">
        <x:v>15</x:v>
      </x:c>
      <x:c r="B255" s="4" t="s">
        <x:v>2236</x:v>
      </x:c>
      <x:c r="C255" s="4"/>
      <x:c r="D255" s="4" t="s">
        <x:v>1022</x:v>
      </x:c>
      <x:c r="E255" s="4"/>
      <x:c r="F255" s="4" t="s">
        <x:v>1022</x:v>
      </x:c>
      <x:c r="G255" s="5" t="s">
        <x:v>2237</x:v>
      </x:c>
      <x:c r="H255" s="8" t="s">
        <x:v>2238</x:v>
      </x:c>
      <x:c r="I255" s="6" t="s">
        <x:v>1204</x:v>
      </x:c>
      <x:c r="J255" s="7" t="str">
        <x:f t="shared" si="6"/>
        <x:v>投掷耶夫</x:v>
      </x:c>
      <x:c r="K255" s="7" t="str">
        <x:f t="shared" si="7"/>
        <x:v>APPROVED</x:v>
      </x:c>
      <x:c r="L255" s="4" t="s">
        <x:v>2239</x:v>
      </x:c>
    </x:row>
    <x:row r="256" ht="22.5" customHeight="1">
      <x:c r="A256" s="4" t="s">
        <x:v>15</x:v>
      </x:c>
      <x:c r="B256" s="4" t="s">
        <x:v>2240</x:v>
      </x:c>
      <x:c r="C256" s="4"/>
      <x:c r="D256" s="4" t="s">
        <x:v>2241</x:v>
      </x:c>
      <x:c r="E256" s="4"/>
      <x:c r="F256" s="4" t="s">
        <x:v>2241</x:v>
      </x:c>
      <x:c r="G256" s="5" t="s">
        <x:v>2242</x:v>
      </x:c>
      <x:c r="H256" s="8" t="s">
        <x:v>2243</x:v>
      </x:c>
      <x:c r="I256" s="6" t="s">
        <x:v>1204</x:v>
      </x:c>
      <x:c r="J256" s="7" t="str">
        <x:f t="shared" si="6"/>
        <x:v>五色创新</x:v>
      </x:c>
      <x:c r="K256" s="7" t="str">
        <x:f t="shared" si="7"/>
        <x:v>APPROVED</x:v>
      </x:c>
      <x:c r="L256" s="4" t="s">
        <x:v>2244</x:v>
      </x:c>
    </x:row>
    <x:row r="257" ht="22.5" customHeight="1">
      <x:c r="A257" s="9" t="s">
        <x:v>15</x:v>
      </x:c>
      <x:c r="B257" s="9" t="s">
        <x:v>2245</x:v>
      </x:c>
      <x:c r="C257" s="9"/>
      <x:c r="D257" s="9" t="s">
        <x:v>2246</x:v>
      </x:c>
      <x:c r="E257" s="9"/>
      <x:c r="F257" s="9" t="s">
        <x:v>2246</x:v>
      </x:c>
      <x:c r="G257" s="10" t="s">
        <x:v>2247</x:v>
      </x:c>
      <x:c r="H257" s="14" t="s">
        <x:v>2247</x:v>
      </x:c>
      <x:c r="I257" s="11" t="s">
        <x:v>1204</x:v>
      </x:c>
      <x:c r="J257" s="12" t="str">
        <x:f t="shared" si="6"/>
        <x:v>大锤</x:v>
      </x:c>
      <x:c r="K257" s="12" t="str">
        <x:f t="shared" si="7"/>
        <x:v>APPROVED</x:v>
      </x:c>
      <x:c r="L257" s="13" t="s">
        <x:v>2248</x:v>
      </x:c>
    </x:row>
    <x:row r="258" ht="22.5" customHeight="1">
      <x:c r="A258" s="4" t="s">
        <x:v>15</x:v>
      </x:c>
      <x:c r="B258" s="4" t="s">
        <x:v>2245</x:v>
      </x:c>
      <x:c r="C258" s="4" t="s">
        <x:v>1482</x:v>
      </x:c>
      <x:c r="D258" s="4" t="s">
        <x:v>2246</x:v>
      </x:c>
      <x:c r="E258" s="4" t="s">
        <x:v>1483</x:v>
      </x:c>
      <x:c r="F258" s="4" t="s">
        <x:v>2249</x:v>
      </x:c>
      <x:c r="G258" s="5" t="s">
        <x:v>2250</x:v>
      </x:c>
      <x:c r="H258" s="8" t="s">
        <x:v>2251</x:v>
      </x:c>
      <x:c r="I258" s="6" t="s">
        <x:v>1204</x:v>
      </x:c>
      <x:c r="J258" s="7" t="str">
        <x:f t="shared" si="6"/>
        <x:v>洁斯凯大锤</x:v>
      </x:c>
      <x:c r="K258" s="7" t="str">
        <x:f t="shared" si="7"/>
        <x:v>APPROVED</x:v>
      </x:c>
      <x:c r="L258" s="4" t="s">
        <x:v>2252</x:v>
      </x:c>
    </x:row>
    <x:row r="259" ht="22.5" customHeight="1">
      <x:c r="A259" s="4" t="s">
        <x:v>15</x:v>
      </x:c>
      <x:c r="B259" s="4" t="s">
        <x:v>2245</x:v>
      </x:c>
      <x:c r="C259" s="4" t="s">
        <x:v>2176</x:v>
      </x:c>
      <x:c r="D259" s="4" t="s">
        <x:v>2246</x:v>
      </x:c>
      <x:c r="E259" s="4" t="s">
        <x:v>2177</x:v>
      </x:c>
      <x:c r="F259" s="4" t="s">
        <x:v>2253</x:v>
      </x:c>
      <x:c r="G259" s="5" t="s">
        <x:v>2254</x:v>
      </x:c>
      <x:c r="H259" s="8" t="s">
        <x:v>2255</x:v>
      </x:c>
      <x:c r="I259" s="6" t="s">
        <x:v>1204</x:v>
      </x:c>
      <x:c r="J259" s="7" t="str">
        <x:f t="shared" si="6"/>
        <x:v>蓝白大锤</x:v>
      </x:c>
      <x:c r="K259" s="7" t="str">
        <x:f t="shared" si="7"/>
        <x:v>APPROVED</x:v>
      </x:c>
      <x:c r="L259" s="4" t="s">
        <x:v>2256</x:v>
      </x:c>
    </x:row>
    <x:row r="260" ht="22.5" customHeight="1">
      <x:c r="A260" s="4" t="s">
        <x:v>15</x:v>
      </x:c>
      <x:c r="B260" s="4" t="s">
        <x:v>2245</x:v>
      </x:c>
      <x:c r="C260" s="4" t="s">
        <x:v>1227</x:v>
      </x:c>
      <x:c r="D260" s="4" t="s">
        <x:v>2246</x:v>
      </x:c>
      <x:c r="E260" s="4" t="s">
        <x:v>1228</x:v>
      </x:c>
      <x:c r="F260" s="4" t="s">
        <x:v>2257</x:v>
      </x:c>
      <x:c r="G260" s="5" t="s">
        <x:v>2258</x:v>
      </x:c>
      <x:c r="H260" s="6" t="s">
        <x:v>2259</x:v>
      </x:c>
      <x:c r="I260" s="6" t="s">
        <x:v>1204</x:v>
      </x:c>
      <x:c r="J260" s="7" t="str">
        <x:f t="shared" si="6"/>
        <x:v>红白大锤</x:v>
      </x:c>
      <x:c r="K260" s="7" t="str">
        <x:f t="shared" si="7"/>
        <x:v>APPROVED</x:v>
      </x:c>
      <x:c r="L260" s="4" t="s">
        <x:v>2260</x:v>
      </x:c>
    </x:row>
    <x:row r="261" ht="22.5" customHeight="1">
      <x:c r="A261" s="4" t="s">
        <x:v>15</x:v>
      </x:c>
      <x:c r="B261" s="4" t="s">
        <x:v>2245</x:v>
      </x:c>
      <x:c r="C261" s="4" t="s">
        <x:v>2261</x:v>
      </x:c>
      <x:c r="D261" s="4" t="s">
        <x:v>2246</x:v>
      </x:c>
      <x:c r="E261" s="4" t="s">
        <x:v>2262</x:v>
      </x:c>
      <x:c r="F261" s="4" t="s">
        <x:v>2263</x:v>
      </x:c>
      <x:c r="G261" s="5" t="s">
        <x:v>2264</x:v>
      </x:c>
      <x:c r="H261" s="8" t="s">
        <x:v>2265</x:v>
      </x:c>
      <x:c r="I261" s="6" t="s">
        <x:v>1204</x:v>
      </x:c>
      <x:c r="J261" s="7" t="str">
        <x:f t="shared" ref="J261:J324" si="8">IF(H261&lt;&gt;"",H261,G261)</x:f>
        <x:v>纯白大锤</x:v>
      </x:c>
      <x:c r="K261" s="7" t="str">
        <x:f t="shared" ref="K261:K324" si="9">IF(I261="APPROVED","APPROVED",IF(I261="REVISE","REVISION REQUESTED","NEEDS OWNER REVIEW"))</x:f>
        <x:v>APPROVED</x:v>
      </x:c>
      <x:c r="L261" s="4" t="s">
        <x:v>2266</x:v>
      </x:c>
    </x:row>
    <x:row r="262" ht="22.5" customHeight="1">
      <x:c r="A262" s="9" t="s">
        <x:v>15</x:v>
      </x:c>
      <x:c r="B262" s="9" t="s">
        <x:v>2267</x:v>
      </x:c>
      <x:c r="C262" s="9"/>
      <x:c r="D262" s="9" t="s">
        <x:v>707</x:v>
      </x:c>
      <x:c r="E262" s="9"/>
      <x:c r="F262" s="9" t="s">
        <x:v>707</x:v>
      </x:c>
      <x:c r="G262" s="10" t="s">
        <x:v>2268</x:v>
      </x:c>
      <x:c r="H262" s="14" t="s">
        <x:v>2269</x:v>
      </x:c>
      <x:c r="I262" s="11" t="s">
        <x:v>1204</x:v>
      </x:c>
      <x:c r="J262" s="12" t="str">
        <x:f t="shared" si="8"/>
        <x:v>缓伤组合技</x:v>
      </x:c>
      <x:c r="K262" s="12" t="str">
        <x:f t="shared" si="9"/>
        <x:v>APPROVED</x:v>
      </x:c>
      <x:c r="L262" s="13" t="s">
        <x:v>2270</x:v>
      </x:c>
    </x:row>
    <x:row r="263" ht="22.5" customHeight="1">
      <x:c r="A263" s="4" t="s">
        <x:v>15</x:v>
      </x:c>
      <x:c r="B263" s="4" t="s">
        <x:v>2267</x:v>
      </x:c>
      <x:c r="C263" s="4" t="s">
        <x:v>2271</x:v>
      </x:c>
      <x:c r="D263" s="4" t="s">
        <x:v>707</x:v>
      </x:c>
      <x:c r="E263" s="4" t="s">
        <x:v>2272</x:v>
      </x:c>
      <x:c r="F263" s="4" t="s">
        <x:v>2273</x:v>
      </x:c>
      <x:c r="G263" s="5" t="s">
        <x:v>2274</x:v>
      </x:c>
      <x:c r="H263" s="6" t="s">
        <x:v>2275</x:v>
      </x:c>
      <x:c r="I263" s="6" t="s">
        <x:v>1204</x:v>
      </x:c>
      <x:c r="J263" s="7" t="str">
        <x:f t="shared" si="8"/>
        <x:v>阿布赞缓伤</x:v>
      </x:c>
      <x:c r="K263" s="7" t="str">
        <x:f t="shared" si="9"/>
        <x:v>APPROVED</x:v>
      </x:c>
      <x:c r="L263" s="4" t="s">
        <x:v>2276</x:v>
      </x:c>
    </x:row>
    <x:row r="264" ht="22.5" customHeight="1">
      <x:c r="A264" s="4" t="s">
        <x:v>15</x:v>
      </x:c>
      <x:c r="B264" s="4" t="s">
        <x:v>2267</x:v>
      </x:c>
      <x:c r="C264" s="4" t="s">
        <x:v>2277</x:v>
      </x:c>
      <x:c r="D264" s="4" t="s">
        <x:v>707</x:v>
      </x:c>
      <x:c r="E264" s="4" t="s">
        <x:v>2278</x:v>
      </x:c>
      <x:c r="F264" s="4" t="s">
        <x:v>2279</x:v>
      </x:c>
      <x:c r="G264" s="5" t="s">
        <x:v>2280</x:v>
      </x:c>
      <x:c r="H264" s="6" t="s">
        <x:v>2281</x:v>
      </x:c>
      <x:c r="I264" s="6" t="s">
        <x:v>1204</x:v>
      </x:c>
      <x:c r="J264" s="7" t="str">
        <x:f t="shared" si="8"/>
        <x:v>白绿缓伤</x:v>
      </x:c>
      <x:c r="K264" s="7" t="str">
        <x:f t="shared" si="9"/>
        <x:v>APPROVED</x:v>
      </x:c>
      <x:c r="L264" s="4" t="s">
        <x:v>2282</x:v>
      </x:c>
    </x:row>
    <x:row r="265" ht="22.5" customHeight="1">
      <x:c r="A265" s="9" t="s">
        <x:v>15</x:v>
      </x:c>
      <x:c r="B265" s="9" t="s">
        <x:v>2283</x:v>
      </x:c>
      <x:c r="C265" s="9"/>
      <x:c r="D265" s="9" t="s">
        <x:v>2284</x:v>
      </x:c>
      <x:c r="E265" s="9"/>
      <x:c r="F265" s="9" t="s">
        <x:v>2284</x:v>
      </x:c>
      <x:c r="G265" s="10" t="s">
        <x:v>2285</x:v>
      </x:c>
      <x:c r="H265" s="14" t="s">
        <x:v>2286</x:v>
      </x:c>
      <x:c r="I265" s="11" t="s">
        <x:v>1204</x:v>
      </x:c>
      <x:c r="J265" s="12" t="str">
        <x:f t="shared" si="8"/>
        <x:v>獾地鼠组合技</x:v>
      </x:c>
      <x:c r="K265" s="12" t="str">
        <x:f t="shared" si="9"/>
        <x:v>APPROVED</x:v>
      </x:c>
      <x:c r="L265" s="13" t="s">
        <x:v>2287</x:v>
      </x:c>
    </x:row>
    <x:row r="266" ht="22.5" customHeight="1">
      <x:c r="A266" s="4" t="s">
        <x:v>15</x:v>
      </x:c>
      <x:c r="B266" s="4" t="s">
        <x:v>2283</x:v>
      </x:c>
      <x:c r="C266" s="4" t="s">
        <x:v>2009</x:v>
      </x:c>
      <x:c r="D266" s="4" t="s">
        <x:v>2284</x:v>
      </x:c>
      <x:c r="E266" s="4" t="s">
        <x:v>2010</x:v>
      </x:c>
      <x:c r="F266" s="4" t="s">
        <x:v>2288</x:v>
      </x:c>
      <x:c r="G266" s="5" t="s">
        <x:v>2289</x:v>
      </x:c>
      <x:c r="H266" s="8" t="s">
        <x:v>2290</x:v>
      </x:c>
      <x:c r="I266" s="6" t="s">
        <x:v>1204</x:v>
      </x:c>
      <x:c r="J266" s="7" t="str">
        <x:f t="shared" si="8"/>
        <x:v>黑绿獾地鼠</x:v>
      </x:c>
      <x:c r="K266" s="7" t="str">
        <x:f t="shared" si="9"/>
        <x:v>APPROVED</x:v>
      </x:c>
      <x:c r="L266" s="4" t="s">
        <x:v>2291</x:v>
      </x:c>
    </x:row>
    <x:row r="267" ht="22.5" customHeight="1">
      <x:c r="A267" s="4" t="s">
        <x:v>15</x:v>
      </x:c>
      <x:c r="B267" s="4" t="s">
        <x:v>2283</x:v>
      </x:c>
      <x:c r="C267" s="4" t="s">
        <x:v>2019</x:v>
      </x:c>
      <x:c r="D267" s="4" t="s">
        <x:v>2284</x:v>
      </x:c>
      <x:c r="E267" s="4" t="s">
        <x:v>2020</x:v>
      </x:c>
      <x:c r="F267" s="4" t="s">
        <x:v>2292</x:v>
      </x:c>
      <x:c r="G267" s="5" t="s">
        <x:v>2293</x:v>
      </x:c>
      <x:c r="H267" s="6" t="s">
        <x:v>2294</x:v>
      </x:c>
      <x:c r="I267" s="6" t="s">
        <x:v>1204</x:v>
      </x:c>
      <x:c r="J267" s="7" t="str">
        <x:f t="shared" si="8"/>
        <x:v>纯绿獾地鼠</x:v>
      </x:c>
      <x:c r="K267" s="7" t="str">
        <x:f t="shared" si="9"/>
        <x:v>APPROVED</x:v>
      </x:c>
      <x:c r="L267" s="4" t="s">
        <x:v>2295</x:v>
      </x:c>
    </x:row>
    <x:row r="268" ht="22.5" customHeight="1">
      <x:c r="A268" s="4" t="s">
        <x:v>15</x:v>
      </x:c>
      <x:c r="B268" s="4" t="s">
        <x:v>2283</x:v>
      </x:c>
      <x:c r="C268" s="4" t="s">
        <x:v>2296</x:v>
      </x:c>
      <x:c r="D268" s="4" t="s">
        <x:v>2284</x:v>
      </x:c>
      <x:c r="E268" s="4" t="s">
        <x:v>2297</x:v>
      </x:c>
      <x:c r="F268" s="4" t="s">
        <x:v>2298</x:v>
      </x:c>
      <x:c r="G268" s="5" t="s">
        <x:v>2299</x:v>
      </x:c>
      <x:c r="H268" s="6" t="s">
        <x:v>2300</x:v>
      </x:c>
      <x:c r="I268" s="6" t="s">
        <x:v>1204</x:v>
      </x:c>
      <x:c r="J268" s="7" t="str">
        <x:f t="shared" si="8"/>
        <x:v>地落獾地鼠</x:v>
      </x:c>
      <x:c r="K268" s="7" t="str">
        <x:f t="shared" si="9"/>
        <x:v>APPROVED</x:v>
      </x:c>
      <x:c r="L268" s="4" t="s">
        <x:v>2301</x:v>
      </x:c>
    </x:row>
    <x:row r="269" ht="22.5" customHeight="1">
      <x:c r="A269" s="9" t="s">
        <x:v>15</x:v>
      </x:c>
      <x:c r="B269" s="9" t="s">
        <x:v>2302</x:v>
      </x:c>
      <x:c r="C269" s="9"/>
      <x:c r="D269" s="9" t="s">
        <x:v>2303</x:v>
      </x:c>
      <x:c r="E269" s="9"/>
      <x:c r="F269" s="9" t="s">
        <x:v>2303</x:v>
      </x:c>
      <x:c r="G269" s="10" t="s">
        <x:v>2304</x:v>
      </x:c>
      <x:c r="H269" s="14" t="s">
        <x:v>2304</x:v>
      </x:c>
      <x:c r="I269" s="11" t="s">
        <x:v>1204</x:v>
      </x:c>
      <x:c r="J269" s="12" t="str">
        <x:f t="shared" si="8"/>
        <x:v>犀牛</x:v>
      </x:c>
      <x:c r="K269" s="12" t="str">
        <x:f t="shared" si="9"/>
        <x:v>APPROVED</x:v>
      </x:c>
      <x:c r="L269" s="13" t="s">
        <x:v>2305</x:v>
      </x:c>
    </x:row>
    <x:row r="270" ht="22.5" customHeight="1">
      <x:c r="A270" s="4" t="s">
        <x:v>15</x:v>
      </x:c>
      <x:c r="B270" s="4" t="s">
        <x:v>2302</x:v>
      </x:c>
      <x:c r="C270" s="4" t="s">
        <x:v>2306</x:v>
      </x:c>
      <x:c r="D270" s="4" t="s">
        <x:v>2303</x:v>
      </x:c>
      <x:c r="E270" s="4" t="s">
        <x:v>2307</x:v>
      </x:c>
      <x:c r="F270" s="4" t="s">
        <x:v>2308</x:v>
      </x:c>
      <x:c r="G270" s="5" t="s">
        <x:v>2309</x:v>
      </x:c>
      <x:c r="H270" s="6" t="s">
        <x:v>2310</x:v>
      </x:c>
      <x:c r="I270" s="6" t="s">
        <x:v>1204</x:v>
      </x:c>
      <x:c r="J270" s="7" t="str">
        <x:f t="shared" si="8"/>
        <x:v>领土犀牛</x:v>
      </x:c>
      <x:c r="K270" s="7" t="str">
        <x:f t="shared" si="9"/>
        <x:v>APPROVED</x:v>
      </x:c>
      <x:c r="L270" s="4" t="s">
        <x:v>2311</x:v>
      </x:c>
    </x:row>
    <x:row r="271" ht="22.5" customHeight="1">
      <x:c r="A271" s="4" t="s">
        <x:v>15</x:v>
      </x:c>
      <x:c r="B271" s="4" t="s">
        <x:v>2302</x:v>
      </x:c>
      <x:c r="C271" s="4" t="s">
        <x:v>1935</x:v>
      </x:c>
      <x:c r="D271" s="4" t="s">
        <x:v>2303</x:v>
      </x:c>
      <x:c r="E271" s="4" t="s">
        <x:v>1936</x:v>
      </x:c>
      <x:c r="F271" s="4" t="s">
        <x:v>2312</x:v>
      </x:c>
      <x:c r="G271" s="5" t="s">
        <x:v>2313</x:v>
      </x:c>
      <x:c r="H271" s="8" t="s">
        <x:v>2313</x:v>
      </x:c>
      <x:c r="I271" s="6" t="s">
        <x:v>1204</x:v>
      </x:c>
      <x:c r="J271" s="7" t="str">
        <x:f t="shared" si="8"/>
        <x:v>四色犀牛</x:v>
      </x:c>
      <x:c r="K271" s="7" t="str">
        <x:f t="shared" si="9"/>
        <x:v>APPROVED</x:v>
      </x:c>
      <x:c r="L271" s="4" t="s">
        <x:v>2314</x:v>
      </x:c>
    </x:row>
    <x:row r="272" ht="22.5" customHeight="1">
      <x:c r="A272" s="4" t="s">
        <x:v>15</x:v>
      </x:c>
      <x:c r="B272" s="4" t="s">
        <x:v>2302</x:v>
      </x:c>
      <x:c r="C272" s="4" t="s">
        <x:v>1553</x:v>
      </x:c>
      <x:c r="D272" s="4" t="s">
        <x:v>2303</x:v>
      </x:c>
      <x:c r="E272" s="4" t="s">
        <x:v>1554</x:v>
      </x:c>
      <x:c r="F272" s="4" t="s">
        <x:v>2315</x:v>
      </x:c>
      <x:c r="G272" s="5" t="s">
        <x:v>2316</x:v>
      </x:c>
      <x:c r="H272" s="6" t="s">
        <x:v>2316</x:v>
      </x:c>
      <x:c r="I272" s="6" t="s">
        <x:v>1204</x:v>
      </x:c>
      <x:c r="J272" s="7" t="str">
        <x:f t="shared" si="8"/>
        <x:v>铁木尔犀牛</x:v>
      </x:c>
      <x:c r="K272" s="7" t="str">
        <x:f t="shared" si="9"/>
        <x:v>APPROVED</x:v>
      </x:c>
      <x:c r="L272" s="4" t="s">
        <x:v>2317</x:v>
      </x:c>
    </x:row>
    <x:row r="273" ht="22.5" customHeight="1">
      <x:c r="A273" s="4" t="s">
        <x:v>15</x:v>
      </x:c>
      <x:c r="B273" s="4" t="s">
        <x:v>2318</x:v>
      </x:c>
      <x:c r="C273" s="4"/>
      <x:c r="D273" s="4" t="s">
        <x:v>958</x:v>
      </x:c>
      <x:c r="E273" s="4"/>
      <x:c r="F273" s="4" t="s">
        <x:v>958</x:v>
      </x:c>
      <x:c r="G273" s="5" t="s">
        <x:v>2319</x:v>
      </x:c>
      <x:c r="H273" s="6" t="s">
        <x:v>2320</x:v>
      </x:c>
      <x:c r="I273" s="6" t="s">
        <x:v>1204</x:v>
      </x:c>
      <x:c r="J273" s="7" t="str">
        <x:f t="shared" si="8"/>
        <x:v>明灯控</x:v>
      </x:c>
      <x:c r="K273" s="7" t="str">
        <x:f t="shared" si="9"/>
        <x:v>APPROVED</x:v>
      </x:c>
      <x:c r="L273" s="4" t="s">
        <x:v>2321</x:v>
      </x:c>
    </x:row>
    <x:row r="274" ht="22.5" customHeight="1">
      <x:c r="A274" s="4" t="s">
        <x:v>15</x:v>
      </x:c>
      <x:c r="B274" s="4" t="s">
        <x:v>2322</x:v>
      </x:c>
      <x:c r="C274" s="4"/>
      <x:c r="D274" s="4" t="s">
        <x:v>2323</x:v>
      </x:c>
      <x:c r="E274" s="4"/>
      <x:c r="F274" s="4" t="s">
        <x:v>2323</x:v>
      </x:c>
      <x:c r="G274" s="5" t="s">
        <x:v>2324</x:v>
      </x:c>
      <x:c r="H274" s="8" t="s">
        <x:v>2325</x:v>
      </x:c>
      <x:c r="I274" s="6" t="s">
        <x:v>1204</x:v>
      </x:c>
      <x:c r="J274" s="7" t="str">
        <x:f t="shared" si="8"/>
        <x:v>红蓝双身</x:v>
      </x:c>
      <x:c r="K274" s="7" t="str">
        <x:f t="shared" si="9"/>
        <x:v>APPROVED</x:v>
      </x:c>
      <x:c r="L274" s="4" t="s">
        <x:v>2326</x:v>
      </x:c>
    </x:row>
    <x:row r="275" ht="22.5" customHeight="1">
      <x:c r="A275" s="4" t="s">
        <x:v>15</x:v>
      </x:c>
      <x:c r="B275" s="4" t="s">
        <x:v>1643</x:v>
      </x:c>
      <x:c r="C275" s="4"/>
      <x:c r="D275" s="4" t="s">
        <x:v>1644</x:v>
      </x:c>
      <x:c r="E275" s="4"/>
      <x:c r="F275" s="4" t="s">
        <x:v>1644</x:v>
      </x:c>
      <x:c r="G275" s="5" t="s">
        <x:v>1645</x:v>
      </x:c>
      <x:c r="H275" s="6" t="s">
        <x:v>1646</x:v>
      </x:c>
      <x:c r="I275" s="6" t="s">
        <x:v>1204</x:v>
      </x:c>
      <x:c r="J275" s="7" t="str">
        <x:f t="shared" si="8"/>
        <x:v>纯蓝纳摩</x:v>
      </x:c>
      <x:c r="K275" s="7" t="str">
        <x:f t="shared" si="9"/>
        <x:v>APPROVED</x:v>
      </x:c>
      <x:c r="L275" s="4" t="s">
        <x:v>2327</x:v>
      </x:c>
    </x:row>
    <x:row r="276" ht="22.5" customHeight="1">
      <x:c r="A276" s="4" t="s">
        <x:v>15</x:v>
      </x:c>
      <x:c r="B276" s="4" t="s">
        <x:v>2328</x:v>
      </x:c>
      <x:c r="C276" s="4"/>
      <x:c r="D276" s="4" t="s">
        <x:v>814</x:v>
      </x:c>
      <x:c r="E276" s="4"/>
      <x:c r="F276" s="4" t="s">
        <x:v>814</x:v>
      </x:c>
      <x:c r="G276" s="5" t="s">
        <x:v>2329</x:v>
      </x:c>
      <x:c r="H276" s="8" t="s">
        <x:v>2330</x:v>
      </x:c>
      <x:c r="I276" s="6" t="s">
        <x:v>1204</x:v>
      </x:c>
      <x:c r="J276" s="7" t="str">
        <x:f t="shared" si="8"/>
        <x:v>红蓝法术师</x:v>
      </x:c>
      <x:c r="K276" s="7" t="str">
        <x:f t="shared" si="9"/>
        <x:v>APPROVED</x:v>
      </x:c>
      <x:c r="L276" s="4" t="s">
        <x:v>2331</x:v>
      </x:c>
    </x:row>
    <x:row r="277" ht="22.5" customHeight="1">
      <x:c r="A277" s="9" t="s">
        <x:v>15</x:v>
      </x:c>
      <x:c r="B277" s="9" t="s">
        <x:v>2332</x:v>
      </x:c>
      <x:c r="C277" s="9"/>
      <x:c r="D277" s="9" t="s">
        <x:v>2333</x:v>
      </x:c>
      <x:c r="E277" s="9"/>
      <x:c r="F277" s="9" t="s">
        <x:v>2333</x:v>
      </x:c>
      <x:c r="G277" s="10" t="s">
        <x:v>2334</x:v>
      </x:c>
      <x:c r="H277" s="14" t="s">
        <x:v>2334</x:v>
      </x:c>
      <x:c r="I277" s="11" t="s">
        <x:v>1204</x:v>
      </x:c>
      <x:c r="J277" s="12" t="str">
        <x:f t="shared" si="8"/>
        <x:v>死影</x:v>
      </x:c>
      <x:c r="K277" s="12" t="str">
        <x:f t="shared" si="9"/>
        <x:v>APPROVED</x:v>
      </x:c>
      <x:c r="L277" s="13" t="s">
        <x:v>2335</x:v>
      </x:c>
    </x:row>
    <x:row r="278" ht="22.5" customHeight="1">
      <x:c r="A278" s="4" t="s">
        <x:v>15</x:v>
      </x:c>
      <x:c r="B278" s="4" t="s">
        <x:v>2332</x:v>
      </x:c>
      <x:c r="C278" s="4" t="s">
        <x:v>1904</x:v>
      </x:c>
      <x:c r="D278" s="4" t="s">
        <x:v>2333</x:v>
      </x:c>
      <x:c r="E278" s="4" t="s">
        <x:v>1905</x:v>
      </x:c>
      <x:c r="F278" s="4" t="s">
        <x:v>2336</x:v>
      </x:c>
      <x:c r="G278" s="5" t="s">
        <x:v>2337</x:v>
      </x:c>
      <x:c r="H278" s="6" t="s">
        <x:v>2338</x:v>
      </x:c>
      <x:c r="I278" s="6" t="s">
        <x:v>1204</x:v>
      </x:c>
      <x:c r="J278" s="7" t="str">
        <x:f t="shared" si="8"/>
        <x:v>格利极死影</x:v>
      </x:c>
      <x:c r="K278" s="7" t="str">
        <x:f t="shared" si="9"/>
        <x:v>APPROVED</x:v>
      </x:c>
      <x:c r="L278" s="4" t="s">
        <x:v>2339</x:v>
      </x:c>
    </x:row>
    <x:row r="279" ht="22.5" customHeight="1">
      <x:c r="A279" s="4" t="s">
        <x:v>15</x:v>
      </x:c>
      <x:c r="B279" s="4" t="s">
        <x:v>2332</x:v>
      </x:c>
      <x:c r="C279" s="4" t="s">
        <x:v>2191</x:v>
      </x:c>
      <x:c r="D279" s="4" t="s">
        <x:v>2333</x:v>
      </x:c>
      <x:c r="E279" s="4" t="s">
        <x:v>2192</x:v>
      </x:c>
      <x:c r="F279" s="4" t="s">
        <x:v>2340</x:v>
      </x:c>
      <x:c r="G279" s="5" t="s">
        <x:v>2194</x:v>
      </x:c>
      <x:c r="H279" s="6" t="s">
        <x:v>2341</x:v>
      </x:c>
      <x:c r="I279" s="6" t="s">
        <x:v>1204</x:v>
      </x:c>
      <x:c r="J279" s="7" t="str">
        <x:f t="shared" si="8"/>
        <x:v>蓝黑死影</x:v>
      </x:c>
      <x:c r="K279" s="7" t="str">
        <x:f t="shared" si="9"/>
        <x:v>APPROVED</x:v>
      </x:c>
      <x:c r="L279" s="4" t="s">
        <x:v>2342</x:v>
      </x:c>
    </x:row>
    <x:row r="280" ht="22.5" customHeight="1">
      <x:c r="A280" s="4" t="s">
        <x:v>15</x:v>
      </x:c>
      <x:c r="B280" s="4" t="s">
        <x:v>2332</x:v>
      </x:c>
      <x:c r="C280" s="4" t="s">
        <x:v>1426</x:v>
      </x:c>
      <x:c r="D280" s="4" t="s">
        <x:v>2333</x:v>
      </x:c>
      <x:c r="E280" s="4" t="s">
        <x:v>1427</x:v>
      </x:c>
      <x:c r="F280" s="4" t="s">
        <x:v>2343</x:v>
      </x:c>
      <x:c r="G280" s="5" t="s">
        <x:v>2197</x:v>
      </x:c>
      <x:c r="H280" s="6" t="s">
        <x:v>2344</x:v>
      </x:c>
      <x:c r="I280" s="6" t="s">
        <x:v>1204</x:v>
      </x:c>
      <x:c r="J280" s="7" t="str">
        <x:f t="shared" si="8"/>
        <x:v>红黑死影</x:v>
      </x:c>
      <x:c r="K280" s="7" t="str">
        <x:f t="shared" si="9"/>
        <x:v>APPROVED</x:v>
      </x:c>
      <x:c r="L280" s="4" t="s">
        <x:v>2345</x:v>
      </x:c>
    </x:row>
    <x:row r="281" ht="22.5" customHeight="1">
      <x:c r="A281" s="4" t="s">
        <x:v>15</x:v>
      </x:c>
      <x:c r="B281" s="4" t="s">
        <x:v>2346</x:v>
      </x:c>
      <x:c r="C281" s="4"/>
      <x:c r="D281" s="4" t="s">
        <x:v>2347</x:v>
      </x:c>
      <x:c r="E281" s="4"/>
      <x:c r="F281" s="4" t="s">
        <x:v>2347</x:v>
      </x:c>
      <x:c r="G281" s="5" t="s">
        <x:v>2348</x:v>
      </x:c>
      <x:c r="H281" s="8" t="s">
        <x:v>2348</x:v>
      </x:c>
      <x:c r="I281" s="6" t="s">
        <x:v>1204</x:v>
      </x:c>
      <x:c r="J281" s="7" t="str">
        <x:f t="shared" si="8"/>
        <x:v>黑绿躁狂</x:v>
      </x:c>
      <x:c r="K281" s="7" t="str">
        <x:f t="shared" si="9"/>
        <x:v>APPROVED</x:v>
      </x:c>
      <x:c r="L281" s="4" t="s">
        <x:v>2349</x:v>
      </x:c>
    </x:row>
    <x:row r="282" ht="22.5" customHeight="1">
      <x:c r="A282" s="9" t="s">
        <x:v>15</x:v>
      </x:c>
      <x:c r="B282" s="9" t="s">
        <x:v>2350</x:v>
      </x:c>
      <x:c r="C282" s="9"/>
      <x:c r="D282" s="9" t="s">
        <x:v>2351</x:v>
      </x:c>
      <x:c r="E282" s="9"/>
      <x:c r="F282" s="9" t="s">
        <x:v>2351</x:v>
      </x:c>
      <x:c r="G282" s="10" t="s">
        <x:v>2352</x:v>
      </x:c>
      <x:c r="H282" s="14" t="s">
        <x:v>2353</x:v>
      </x:c>
      <x:c r="I282" s="11" t="s">
        <x:v>1204</x:v>
      </x:c>
      <x:c r="J282" s="12" t="str">
        <x:f t="shared" si="8"/>
        <x:v>易魂师组合技</x:v>
      </x:c>
      <x:c r="K282" s="12" t="str">
        <x:f t="shared" si="9"/>
        <x:v>APPROVED</x:v>
      </x:c>
      <x:c r="L282" s="13" t="s">
        <x:v>2354</x:v>
      </x:c>
    </x:row>
    <x:row r="283" ht="22.5" customHeight="1">
      <x:c r="A283" s="4" t="s">
        <x:v>15</x:v>
      </x:c>
      <x:c r="B283" s="4" t="s">
        <x:v>2350</x:v>
      </x:c>
      <x:c r="C283" s="4" t="s">
        <x:v>2355</x:v>
      </x:c>
      <x:c r="D283" s="4" t="s">
        <x:v>2351</x:v>
      </x:c>
      <x:c r="E283" s="4" t="s">
        <x:v>2356</x:v>
      </x:c>
      <x:c r="F283" s="4" t="s">
        <x:v>2357</x:v>
      </x:c>
      <x:c r="G283" s="5" t="s">
        <x:v>2358</x:v>
      </x:c>
      <x:c r="H283" s="8" t="s">
        <x:v>2359</x:v>
      </x:c>
      <x:c r="I283" s="6" t="s">
        <x:v>1204</x:v>
      </x:c>
      <x:c r="J283" s="7" t="str">
        <x:f t="shared" si="8"/>
        <x:v>黑白易魂师</x:v>
      </x:c>
      <x:c r="K283" s="7" t="str">
        <x:f t="shared" si="9"/>
        <x:v>APPROVED</x:v>
      </x:c>
      <x:c r="L283" s="4" t="s">
        <x:v>2360</x:v>
      </x:c>
    </x:row>
    <x:row r="284" ht="22.5" customHeight="1">
      <x:c r="A284" s="4" t="s">
        <x:v>15</x:v>
      </x:c>
      <x:c r="B284" s="4" t="s">
        <x:v>2350</x:v>
      </x:c>
      <x:c r="C284" s="4" t="s">
        <x:v>1978</x:v>
      </x:c>
      <x:c r="D284" s="4" t="s">
        <x:v>2351</x:v>
      </x:c>
      <x:c r="E284" s="4" t="s">
        <x:v>1979</x:v>
      </x:c>
      <x:c r="F284" s="4" t="s">
        <x:v>2361</x:v>
      </x:c>
      <x:c r="G284" s="5" t="s">
        <x:v>2362</x:v>
      </x:c>
      <x:c r="H284" s="8" t="s">
        <x:v>2363</x:v>
      </x:c>
      <x:c r="I284" s="6" t="s">
        <x:v>1204</x:v>
      </x:c>
      <x:c r="J284" s="7" t="str">
        <x:f t="shared" si="8"/>
        <x:v>苏勒台易魂师</x:v>
      </x:c>
      <x:c r="K284" s="7" t="str">
        <x:f t="shared" si="9"/>
        <x:v>APPROVED</x:v>
      </x:c>
      <x:c r="L284" s="4" t="s">
        <x:v>2364</x:v>
      </x:c>
    </x:row>
    <x:row r="285" ht="22.5" customHeight="1">
      <x:c r="A285" s="4" t="s">
        <x:v>15</x:v>
      </x:c>
      <x:c r="B285" s="4" t="s">
        <x:v>2350</x:v>
      </x:c>
      <x:c r="C285" s="4" t="s">
        <x:v>2191</x:v>
      </x:c>
      <x:c r="D285" s="4" t="s">
        <x:v>2351</x:v>
      </x:c>
      <x:c r="E285" s="4" t="s">
        <x:v>2192</x:v>
      </x:c>
      <x:c r="F285" s="4" t="s">
        <x:v>2365</x:v>
      </x:c>
      <x:c r="G285" s="5" t="s">
        <x:v>2366</x:v>
      </x:c>
      <x:c r="H285" s="6" t="s">
        <x:v>2367</x:v>
      </x:c>
      <x:c r="I285" s="6" t="s">
        <x:v>1204</x:v>
      </x:c>
      <x:c r="J285" s="7" t="str">
        <x:f t="shared" si="8"/>
        <x:v>蓝黑易魂师</x:v>
      </x:c>
      <x:c r="K285" s="7" t="str">
        <x:f t="shared" si="9"/>
        <x:v>APPROVED</x:v>
      </x:c>
      <x:c r="L285" s="4" t="s">
        <x:v>2368</x:v>
      </x:c>
    </x:row>
    <x:row r="286" ht="22.5" customHeight="1">
      <x:c r="A286" s="4" t="s">
        <x:v>15</x:v>
      </x:c>
      <x:c r="B286" s="4" t="s">
        <x:v>2350</x:v>
      </x:c>
      <x:c r="C286" s="4" t="s">
        <x:v>2009</x:v>
      </x:c>
      <x:c r="D286" s="4" t="s">
        <x:v>2351</x:v>
      </x:c>
      <x:c r="E286" s="4" t="s">
        <x:v>2010</x:v>
      </x:c>
      <x:c r="F286" s="4" t="s">
        <x:v>2369</x:v>
      </x:c>
      <x:c r="G286" s="5" t="s">
        <x:v>2370</x:v>
      </x:c>
      <x:c r="H286" s="8" t="s">
        <x:v>2371</x:v>
      </x:c>
      <x:c r="I286" s="6" t="s">
        <x:v>1204</x:v>
      </x:c>
      <x:c r="J286" s="7" t="str">
        <x:f t="shared" si="8"/>
        <x:v>黑绿易魂师</x:v>
      </x:c>
      <x:c r="K286" s="7" t="str">
        <x:f t="shared" si="9"/>
        <x:v>APPROVED</x:v>
      </x:c>
      <x:c r="L286" s="4" t="s">
        <x:v>2372</x:v>
      </x:c>
    </x:row>
    <x:row r="287" ht="22.5" customHeight="1">
      <x:c r="A287" s="4" t="s">
        <x:v>15</x:v>
      </x:c>
      <x:c r="B287" s="4" t="s">
        <x:v>2373</x:v>
      </x:c>
      <x:c r="C287" s="4"/>
      <x:c r="D287" s="4" t="s">
        <x:v>788</x:v>
      </x:c>
      <x:c r="E287" s="4"/>
      <x:c r="F287" s="4" t="s">
        <x:v>788</x:v>
      </x:c>
      <x:c r="G287" s="5" t="s">
        <x:v>2374</x:v>
      </x:c>
      <x:c r="H287" s="6" t="s">
        <x:v>2375</x:v>
      </x:c>
      <x:c r="I287" s="6" t="s">
        <x:v>1204</x:v>
      </x:c>
      <x:c r="J287" s="7" t="str">
        <x:f t="shared" si="8"/>
        <x:v>创生颂曲</x:v>
      </x:c>
      <x:c r="K287" s="7" t="str">
        <x:f t="shared" si="9"/>
        <x:v>APPROVED</x:v>
      </x:c>
      <x:c r="L287" s="4" t="s">
        <x:v>2376</x:v>
      </x:c>
    </x:row>
    <x:row r="288" ht="22.5" customHeight="1">
      <x:c r="A288" s="4" t="s">
        <x:v>15</x:v>
      </x:c>
      <x:c r="B288" s="4" t="s">
        <x:v>2377</x:v>
      </x:c>
      <x:c r="C288" s="4"/>
      <x:c r="D288" s="4" t="s">
        <x:v>2378</x:v>
      </x:c>
      <x:c r="E288" s="4"/>
      <x:c r="F288" s="4" t="s">
        <x:v>2378</x:v>
      </x:c>
      <x:c r="G288" s="5" t="s">
        <x:v>2379</x:v>
      </x:c>
      <x:c r="H288" s="6" t="s">
        <x:v>2380</x:v>
      </x:c>
      <x:c r="I288" s="6" t="s">
        <x:v>1204</x:v>
      </x:c>
      <x:c r="J288" s="7" t="str">
        <x:f t="shared" si="8"/>
        <x:v>沉思组合技</x:v>
      </x:c>
      <x:c r="K288" s="7" t="str">
        <x:f t="shared" si="9"/>
        <x:v>APPROVED</x:v>
      </x:c>
      <x:c r="L288" s="4" t="s">
        <x:v>2381</x:v>
      </x:c>
    </x:row>
    <x:row r="289" ht="22.5" customHeight="1">
      <x:c r="A289" s="4" t="s">
        <x:v>15</x:v>
      </x:c>
      <x:c r="B289" s="4" t="s">
        <x:v>1587</x:v>
      </x:c>
      <x:c r="C289" s="4"/>
      <x:c r="D289" s="4" t="s">
        <x:v>1588</x:v>
      </x:c>
      <x:c r="E289" s="4"/>
      <x:c r="F289" s="4" t="s">
        <x:v>1588</x:v>
      </x:c>
      <x:c r="G289" s="5" t="s">
        <x:v>1589</x:v>
      </x:c>
      <x:c r="H289" s="8" t="s">
        <x:v>1589</x:v>
      </x:c>
      <x:c r="I289" s="6" t="s">
        <x:v>1204</x:v>
      </x:c>
      <x:c r="J289" s="7" t="str">
        <x:f t="shared" si="8"/>
        <x:v>艾斯波控制</x:v>
      </x:c>
      <x:c r="K289" s="7" t="str">
        <x:f t="shared" si="9"/>
        <x:v>APPROVED</x:v>
      </x:c>
      <x:c r="L289" s="4" t="s">
        <x:v>2382</x:v>
      </x:c>
    </x:row>
    <x:row r="290" ht="22.5" customHeight="1">
      <x:c r="A290" s="4" t="s">
        <x:v>15</x:v>
      </x:c>
      <x:c r="B290" s="4" t="s">
        <x:v>2383</x:v>
      </x:c>
      <x:c r="C290" s="4"/>
      <x:c r="D290" s="4" t="s">
        <x:v>2384</x:v>
      </x:c>
      <x:c r="E290" s="4"/>
      <x:c r="F290" s="4" t="s">
        <x:v>2384</x:v>
      </x:c>
      <x:c r="G290" s="5" t="s">
        <x:v>2385</x:v>
      </x:c>
      <x:c r="H290" s="6" t="s">
        <x:v>2385</x:v>
      </x:c>
      <x:c r="I290" s="6" t="s">
        <x:v>1204</x:v>
      </x:c>
      <x:c r="J290" s="7" t="str">
        <x:f t="shared" si="8"/>
        <x:v>纯蓝人鱼</x:v>
      </x:c>
      <x:c r="K290" s="7" t="str">
        <x:f t="shared" si="9"/>
        <x:v>APPROVED</x:v>
      </x:c>
      <x:c r="L290" s="4" t="s">
        <x:v>2386</x:v>
      </x:c>
    </x:row>
    <x:row r="291" ht="22.5" customHeight="1">
      <x:c r="A291" s="4" t="s">
        <x:v>15</x:v>
      </x:c>
      <x:c r="B291" s="4" t="s">
        <x:v>2387</x:v>
      </x:c>
      <x:c r="C291" s="4"/>
      <x:c r="D291" s="4" t="s">
        <x:v>2388</x:v>
      </x:c>
      <x:c r="E291" s="4"/>
      <x:c r="F291" s="4" t="s">
        <x:v>2388</x:v>
      </x:c>
      <x:c r="G291" s="5" t="s">
        <x:v>2389</x:v>
      </x:c>
      <x:c r="H291" s="6" t="s">
        <x:v>2390</x:v>
      </x:c>
      <x:c r="I291" s="6" t="s">
        <x:v>1204</x:v>
      </x:c>
      <x:c r="J291" s="7" t="str">
        <x:f t="shared" si="8"/>
        <x:v>勇得Saga</x:v>
      </x:c>
      <x:c r="K291" s="7" t="str">
        <x:f t="shared" si="9"/>
        <x:v>APPROVED</x:v>
      </x:c>
      <x:c r="L291" s="4" t="s">
        <x:v>2391</x:v>
      </x:c>
    </x:row>
    <x:row r="292" ht="22.5" customHeight="1">
      <x:c r="A292" s="4" t="s">
        <x:v>15</x:v>
      </x:c>
      <x:c r="B292" s="4" t="s">
        <x:v>2392</x:v>
      </x:c>
      <x:c r="C292" s="4"/>
      <x:c r="D292" s="4" t="s">
        <x:v>1144</x:v>
      </x:c>
      <x:c r="E292" s="4"/>
      <x:c r="F292" s="4" t="s">
        <x:v>1144</x:v>
      </x:c>
      <x:c r="G292" s="5" t="s">
        <x:v>2393</x:v>
      </x:c>
      <x:c r="H292" s="6" t="s">
        <x:v>2393</x:v>
      </x:c>
      <x:c r="I292" s="6" t="s">
        <x:v>1204</x:v>
      </x:c>
      <x:c r="J292" s="7" t="str">
        <x:f t="shared" si="8"/>
        <x:v>格利极留存</x:v>
      </x:c>
      <x:c r="K292" s="7" t="str">
        <x:f t="shared" si="9"/>
        <x:v>APPROVED</x:v>
      </x:c>
      <x:c r="L292" s="4" t="s">
        <x:v>2394</x:v>
      </x:c>
    </x:row>
    <x:row r="293" ht="22.5" customHeight="1">
      <x:c r="A293" s="4" t="s">
        <x:v>15</x:v>
      </x:c>
      <x:c r="B293" s="4" t="s">
        <x:v>2395</x:v>
      </x:c>
      <x:c r="C293" s="4"/>
      <x:c r="D293" s="4" t="s">
        <x:v>2396</x:v>
      </x:c>
      <x:c r="E293" s="4"/>
      <x:c r="F293" s="4" t="s">
        <x:v>2396</x:v>
      </x:c>
      <x:c r="G293" s="5" t="s">
        <x:v>2397</x:v>
      </x:c>
      <x:c r="H293" s="8" t="s">
        <x:v>2398</x:v>
      </x:c>
      <x:c r="I293" s="6" t="s">
        <x:v>1204</x:v>
      </x:c>
      <x:c r="J293" s="7" t="str">
        <x:f t="shared" si="8"/>
        <x:v>艾格丁留存</x:v>
      </x:c>
      <x:c r="K293" s="7" t="str">
        <x:f t="shared" si="9"/>
        <x:v>APPROVED</x:v>
      </x:c>
      <x:c r="L293" s="4" t="s">
        <x:v>2399</x:v>
      </x:c>
    </x:row>
    <x:row r="294" ht="22.5" customHeight="1">
      <x:c r="A294" s="4" t="s">
        <x:v>15</x:v>
      </x:c>
      <x:c r="B294" s="4" t="s">
        <x:v>2400</x:v>
      </x:c>
      <x:c r="C294" s="4"/>
      <x:c r="D294" s="4" t="s">
        <x:v>2401</x:v>
      </x:c>
      <x:c r="E294" s="4"/>
      <x:c r="F294" s="4" t="s">
        <x:v>2401</x:v>
      </x:c>
      <x:c r="G294" s="5" t="s">
        <x:v>2402</x:v>
      </x:c>
      <x:c r="H294" s="8" t="s">
        <x:v>2402</x:v>
      </x:c>
      <x:c r="I294" s="6" t="s">
        <x:v>1204</x:v>
      </x:c>
      <x:c r="J294" s="7" t="str">
        <x:f t="shared" si="8"/>
        <x:v>艾斯波留存</x:v>
      </x:c>
      <x:c r="K294" s="7" t="str">
        <x:f t="shared" si="9"/>
        <x:v>APPROVED</x:v>
      </x:c>
      <x:c r="L294" s="4" t="s">
        <x:v>2403</x:v>
      </x:c>
    </x:row>
    <x:row r="295" ht="22.5" customHeight="1">
      <x:c r="A295" s="4" t="s">
        <x:v>15</x:v>
      </x:c>
      <x:c r="B295" s="4" t="s">
        <x:v>2404</x:v>
      </x:c>
      <x:c r="C295" s="4"/>
      <x:c r="D295" s="4" t="s">
        <x:v>2405</x:v>
      </x:c>
      <x:c r="E295" s="4"/>
      <x:c r="F295" s="4" t="s">
        <x:v>2405</x:v>
      </x:c>
      <x:c r="G295" s="5" t="s">
        <x:v>2406</x:v>
      </x:c>
      <x:c r="H295" s="8" t="s">
        <x:v>2406</x:v>
      </x:c>
      <x:c r="I295" s="6" t="s">
        <x:v>1204</x:v>
      </x:c>
      <x:c r="J295" s="7" t="str">
        <x:f t="shared" si="8"/>
        <x:v>红黑留存</x:v>
      </x:c>
      <x:c r="K295" s="7" t="str">
        <x:f t="shared" si="9"/>
        <x:v>APPROVED</x:v>
      </x:c>
      <x:c r="L295" s="4" t="s">
        <x:v>2407</x:v>
      </x:c>
    </x:row>
    <x:row r="296" ht="22.5" customHeight="1">
      <x:c r="A296" s="4" t="s">
        <x:v>15</x:v>
      </x:c>
      <x:c r="B296" s="4" t="s">
        <x:v>2408</x:v>
      </x:c>
      <x:c r="C296" s="4"/>
      <x:c r="D296" s="4" t="s">
        <x:v>2409</x:v>
      </x:c>
      <x:c r="E296" s="4"/>
      <x:c r="F296" s="4" t="s">
        <x:v>2409</x:v>
      </x:c>
      <x:c r="G296" s="5" t="s">
        <x:v>2410</x:v>
      </x:c>
      <x:c r="H296" s="8" t="s">
        <x:v>2411</x:v>
      </x:c>
      <x:c r="I296" s="6" t="s">
        <x:v>1204</x:v>
      </x:c>
      <x:c r="J296" s="7" t="str">
        <x:f t="shared" si="8"/>
        <x:v>阿司魔留存</x:v>
      </x:c>
      <x:c r="K296" s="7" t="str">
        <x:f t="shared" si="9"/>
        <x:v>APPROVED</x:v>
      </x:c>
      <x:c r="L296" s="4" t="s">
        <x:v>2412</x:v>
      </x:c>
    </x:row>
    <x:row r="297" ht="22.5" customHeight="1">
      <x:c r="A297" s="4" t="s">
        <x:v>15</x:v>
      </x:c>
      <x:c r="B297" s="4" t="s">
        <x:v>2413</x:v>
      </x:c>
      <x:c r="C297" s="4"/>
      <x:c r="D297" s="4" t="s">
        <x:v>2414</x:v>
      </x:c>
      <x:c r="E297" s="4"/>
      <x:c r="F297" s="4" t="s">
        <x:v>2414</x:v>
      </x:c>
      <x:c r="G297" s="5" t="s">
        <x:v>2415</x:v>
      </x:c>
      <x:c r="H297" s="6" t="s">
        <x:v>2415</x:v>
      </x:c>
      <x:c r="I297" s="6" t="s">
        <x:v>1204</x:v>
      </x:c>
      <x:c r="J297" s="7" t="str">
        <x:f t="shared" si="8"/>
        <x:v>苏勒台留存</x:v>
      </x:c>
      <x:c r="K297" s="7" t="str">
        <x:f t="shared" si="9"/>
        <x:v>APPROVED</x:v>
      </x:c>
      <x:c r="L297" s="4" t="s">
        <x:v>2416</x:v>
      </x:c>
    </x:row>
    <x:row r="298" ht="22.5" customHeight="1">
      <x:c r="A298" s="4" t="s">
        <x:v>15</x:v>
      </x:c>
      <x:c r="B298" s="4" t="s">
        <x:v>2417</x:v>
      </x:c>
      <x:c r="C298" s="4"/>
      <x:c r="D298" s="4" t="s">
        <x:v>2418</x:v>
      </x:c>
      <x:c r="E298" s="4"/>
      <x:c r="F298" s="4" t="s">
        <x:v>2418</x:v>
      </x:c>
      <x:c r="G298" s="5" t="s">
        <x:v>2419</x:v>
      </x:c>
      <x:c r="H298" s="8" t="s">
        <x:v>2420</x:v>
      </x:c>
      <x:c r="I298" s="6" t="s">
        <x:v>1204</x:v>
      </x:c>
      <x:c r="J298" s="7" t="str">
        <x:f t="shared" si="8"/>
        <x:v>红绿火葬师</x:v>
      </x:c>
      <x:c r="K298" s="7" t="str">
        <x:f t="shared" si="9"/>
        <x:v>APPROVED</x:v>
      </x:c>
      <x:c r="L298" s="4" t="s">
        <x:v>2421</x:v>
      </x:c>
    </x:row>
    <x:row r="299" ht="22.5" customHeight="1">
      <x:c r="A299" s="4" t="s">
        <x:v>15</x:v>
      </x:c>
      <x:c r="B299" s="4" t="s">
        <x:v>2422</x:v>
      </x:c>
      <x:c r="C299" s="4"/>
      <x:c r="D299" s="4" t="s">
        <x:v>2423</x:v>
      </x:c>
      <x:c r="E299" s="4"/>
      <x:c r="F299" s="4" t="s">
        <x:v>2423</x:v>
      </x:c>
      <x:c r="G299" s="5" t="s">
        <x:v>2424</x:v>
      </x:c>
      <x:c r="H299" s="8" t="s">
        <x:v>2425</x:v>
      </x:c>
      <x:c r="I299" s="6" t="s">
        <x:v>1204</x:v>
      </x:c>
      <x:c r="J299" s="7" t="str">
        <x:f t="shared" si="8"/>
        <x:v>火葬师怨灵</x:v>
      </x:c>
      <x:c r="K299" s="7" t="str">
        <x:f t="shared" si="9"/>
        <x:v>APPROVED</x:v>
      </x:c>
      <x:c r="L299" s="4" t="s">
        <x:v>2426</x:v>
      </x:c>
    </x:row>
    <x:row r="300" ht="22.5" customHeight="1">
      <x:c r="A300" s="4" t="s">
        <x:v>15</x:v>
      </x:c>
      <x:c r="B300" s="4" t="s">
        <x:v>2427</x:v>
      </x:c>
      <x:c r="C300" s="4"/>
      <x:c r="D300" s="4" t="s">
        <x:v>720</x:v>
      </x:c>
      <x:c r="E300" s="4"/>
      <x:c r="F300" s="4" t="s">
        <x:v>720</x:v>
      </x:c>
      <x:c r="G300" s="5" t="s">
        <x:v>2428</x:v>
      </x:c>
      <x:c r="H300" s="8" t="s">
        <x:v>2428</x:v>
      </x:c>
      <x:c r="I300" s="6" t="s">
        <x:v>1204</x:v>
      </x:c>
      <x:c r="J300" s="7" t="str">
        <x:f t="shared" si="8"/>
        <x:v>艾斯波怨灵</x:v>
      </x:c>
      <x:c r="K300" s="7" t="str">
        <x:f t="shared" si="9"/>
        <x:v>APPROVED</x:v>
      </x:c>
      <x:c r="L300" s="4" t="s">
        <x:v>2429</x:v>
      </x:c>
    </x:row>
    <x:row r="301" ht="22.5" customHeight="1">
      <x:c r="A301" s="4" t="s">
        <x:v>15</x:v>
      </x:c>
      <x:c r="B301" s="4" t="s">
        <x:v>2430</x:v>
      </x:c>
      <x:c r="C301" s="4"/>
      <x:c r="D301" s="4" t="s">
        <x:v>2431</x:v>
      </x:c>
      <x:c r="E301" s="4"/>
      <x:c r="F301" s="4" t="s">
        <x:v>2431</x:v>
      </x:c>
      <x:c r="G301" s="5" t="s">
        <x:v>2432</x:v>
      </x:c>
      <x:c r="H301" s="6" t="s">
        <x:v>2433</x:v>
      </x:c>
      <x:c r="I301" s="6" t="s">
        <x:v>1204</x:v>
      </x:c>
      <x:c r="J301" s="7" t="str">
        <x:f t="shared" si="8"/>
        <x:v>黑绿怨灵</x:v>
      </x:c>
      <x:c r="K301" s="7" t="str">
        <x:f t="shared" si="9"/>
        <x:v>APPROVED</x:v>
      </x:c>
      <x:c r="L301" s="4" t="s">
        <x:v>2434</x:v>
      </x:c>
    </x:row>
    <x:row r="302" ht="22.5" customHeight="1">
      <x:c r="A302" s="4" t="s">
        <x:v>15</x:v>
      </x:c>
      <x:c r="B302" s="4" t="s">
        <x:v>2435</x:v>
      </x:c>
      <x:c r="C302" s="4"/>
      <x:c r="D302" s="4" t="s">
        <x:v>2436</x:v>
      </x:c>
      <x:c r="E302" s="4"/>
      <x:c r="F302" s="4" t="s">
        <x:v>2436</x:v>
      </x:c>
      <x:c r="G302" s="5" t="s">
        <x:v>2437</x:v>
      </x:c>
      <x:c r="H302" s="6" t="s">
        <x:v>2438</x:v>
      </x:c>
      <x:c r="I302" s="6" t="s">
        <x:v>1204</x:v>
      </x:c>
      <x:c r="J302" s="7" t="str">
        <x:f t="shared" si="8"/>
        <x:v>格利极怨灵</x:v>
      </x:c>
      <x:c r="K302" s="7" t="str">
        <x:f t="shared" si="9"/>
        <x:v>APPROVED</x:v>
      </x:c>
      <x:c r="L302" s="4" t="s">
        <x:v>2439</x:v>
      </x:c>
    </x:row>
    <x:row r="303" ht="22.5" customHeight="1">
      <x:c r="A303" s="4" t="s">
        <x:v>15</x:v>
      </x:c>
      <x:c r="B303" s="4" t="s">
        <x:v>2440</x:v>
      </x:c>
      <x:c r="C303" s="4"/>
      <x:c r="D303" s="4" t="s">
        <x:v>2441</x:v>
      </x:c>
      <x:c r="E303" s="4"/>
      <x:c r="F303" s="4" t="s">
        <x:v>2441</x:v>
      </x:c>
      <x:c r="G303" s="5" t="s">
        <x:v>2442</x:v>
      </x:c>
      <x:c r="H303" s="8" t="s">
        <x:v>2443</x:v>
      </x:c>
      <x:c r="I303" s="6" t="s">
        <x:v>1204</x:v>
      </x:c>
      <x:c r="J303" s="7" t="str">
        <x:f t="shared" si="8"/>
        <x:v>格利极武装</x:v>
      </x:c>
      <x:c r="K303" s="7" t="str">
        <x:f t="shared" si="9"/>
        <x:v>APPROVED</x:v>
      </x:c>
      <x:c r="L303" s="4" t="s">
        <x:v>2444</x:v>
      </x:c>
    </x:row>
    <x:row r="304" ht="22.5" customHeight="1">
      <x:c r="A304" s="4" t="s">
        <x:v>15</x:v>
      </x:c>
      <x:c r="B304" s="4" t="s">
        <x:v>2445</x:v>
      </x:c>
      <x:c r="C304" s="4"/>
      <x:c r="D304" s="4" t="s">
        <x:v>2446</x:v>
      </x:c>
      <x:c r="E304" s="4"/>
      <x:c r="F304" s="4" t="s">
        <x:v>2446</x:v>
      </x:c>
      <x:c r="G304" s="5" t="s">
        <x:v>2447</x:v>
      </x:c>
      <x:c r="H304" s="6" t="s">
        <x:v>2447</x:v>
      </x:c>
      <x:c r="I304" s="6" t="s">
        <x:v>1204</x:v>
      </x:c>
      <x:c r="J304" s="7" t="str">
        <x:f t="shared" si="8"/>
        <x:v>格利极节奏</x:v>
      </x:c>
      <x:c r="K304" s="7" t="str">
        <x:f t="shared" si="9"/>
        <x:v>APPROVED</x:v>
      </x:c>
      <x:c r="L304" s="4" t="s">
        <x:v>2448</x:v>
      </x:c>
    </x:row>
    <x:row r="305" ht="22.5" customHeight="1">
      <x:c r="A305" s="9" t="s">
        <x:v>15</x:v>
      </x:c>
      <x:c r="B305" s="9" t="s">
        <x:v>2449</x:v>
      </x:c>
      <x:c r="C305" s="9"/>
      <x:c r="D305" s="9" t="s">
        <x:v>628</x:v>
      </x:c>
      <x:c r="E305" s="9"/>
      <x:c r="F305" s="9" t="s">
        <x:v>628</x:v>
      </x:c>
      <x:c r="G305" s="10" t="s">
        <x:v>2450</x:v>
      </x:c>
      <x:c r="H305" s="14" t="s">
        <x:v>2450</x:v>
      </x:c>
      <x:c r="I305" s="11" t="s">
        <x:v>1204</x:v>
      </x:c>
      <x:c r="J305" s="12" t="str">
        <x:f t="shared" si="8"/>
        <x:v>蓝黑节奏</x:v>
      </x:c>
      <x:c r="K305" s="12" t="str">
        <x:f t="shared" si="9"/>
        <x:v>APPROVED</x:v>
      </x:c>
      <x:c r="L305" s="13" t="s">
        <x:v>2451</x:v>
      </x:c>
    </x:row>
    <x:row r="306" ht="22.5" customHeight="1">
      <x:c r="A306" s="4" t="s">
        <x:v>15</x:v>
      </x:c>
      <x:c r="B306" s="4" t="s">
        <x:v>2449</x:v>
      </x:c>
      <x:c r="C306" s="4" t="s">
        <x:v>1904</x:v>
      </x:c>
      <x:c r="D306" s="4" t="s">
        <x:v>628</x:v>
      </x:c>
      <x:c r="E306" s="4" t="s">
        <x:v>2452</x:v>
      </x:c>
      <x:c r="F306" s="4" t="s">
        <x:v>2453</x:v>
      </x:c>
      <x:c r="G306" s="5" t="s">
        <x:v>2454</x:v>
      </x:c>
      <x:c r="H306" s="6" t="s">
        <x:v>2455</x:v>
      </x:c>
      <x:c r="I306" s="6" t="s">
        <x:v>1204</x:v>
      </x:c>
      <x:c r="J306" s="7" t="str">
        <x:f t="shared" si="8"/>
        <x:v>蓝黑节奏混红</x:v>
      </x:c>
      <x:c r="K306" s="7" t="str">
        <x:f t="shared" si="9"/>
        <x:v>APPROVED</x:v>
      </x:c>
      <x:c r="L306" s="4" t="s">
        <x:v>2456</x:v>
      </x:c>
    </x:row>
    <x:row r="307" ht="22.5" customHeight="1">
      <x:c r="A307" s="4" t="s">
        <x:v>15</x:v>
      </x:c>
      <x:c r="B307" s="4" t="s">
        <x:v>2449</x:v>
      </x:c>
      <x:c r="C307" s="4" t="s">
        <x:v>2457</x:v>
      </x:c>
      <x:c r="D307" s="4" t="s">
        <x:v>628</x:v>
      </x:c>
      <x:c r="E307" s="4" t="s">
        <x:v>2458</x:v>
      </x:c>
      <x:c r="F307" s="4" t="s">
        <x:v>2459</x:v>
      </x:c>
      <x:c r="G307" s="5" t="s">
        <x:v>2460</x:v>
      </x:c>
      <x:c r="H307" s="6" t="s">
        <x:v>2461</x:v>
      </x:c>
      <x:c r="I307" s="6" t="s">
        <x:v>1204</x:v>
      </x:c>
      <x:c r="J307" s="7" t="str">
        <x:f t="shared" si="8"/>
        <x:v>蓝黑节奏混白</x:v>
      </x:c>
      <x:c r="K307" s="7" t="str">
        <x:f t="shared" si="9"/>
        <x:v>APPROVED</x:v>
      </x:c>
      <x:c r="L307" s="4" t="s">
        <x:v>2462</x:v>
      </x:c>
    </x:row>
    <x:row r="308" ht="22.5" customHeight="1">
      <x:c r="A308" s="4" t="s">
        <x:v>15</x:v>
      </x:c>
      <x:c r="B308" s="4" t="s">
        <x:v>2449</x:v>
      </x:c>
      <x:c r="C308" s="4" t="s">
        <x:v>2191</x:v>
      </x:c>
      <x:c r="D308" s="4" t="s">
        <x:v>628</x:v>
      </x:c>
      <x:c r="E308" s="4" t="s">
        <x:v>2192</x:v>
      </x:c>
      <x:c r="F308" s="4" t="s">
        <x:v>628</x:v>
      </x:c>
      <x:c r="G308" s="5" t="s">
        <x:v>2450</x:v>
      </x:c>
      <x:c r="H308" s="6" t="s">
        <x:v>2450</x:v>
      </x:c>
      <x:c r="I308" s="6" t="s">
        <x:v>1204</x:v>
      </x:c>
      <x:c r="J308" s="7" t="str">
        <x:f t="shared" si="8"/>
        <x:v>蓝黑节奏</x:v>
      </x:c>
      <x:c r="K308" s="7" t="str">
        <x:f t="shared" si="9"/>
        <x:v>APPROVED</x:v>
      </x:c>
      <x:c r="L308" s="4" t="s">
        <x:v>2463</x:v>
      </x:c>
    </x:row>
    <x:row r="309" ht="22.5" customHeight="1">
      <x:c r="A309" s="4" t="s">
        <x:v>15</x:v>
      </x:c>
      <x:c r="B309" s="4" t="s">
        <x:v>2464</x:v>
      </x:c>
      <x:c r="C309" s="4"/>
      <x:c r="D309" s="4" t="s">
        <x:v>855</x:v>
      </x:c>
      <x:c r="E309" s="4"/>
      <x:c r="F309" s="4" t="s">
        <x:v>855</x:v>
      </x:c>
      <x:c r="G309" s="5" t="s">
        <x:v>2465</x:v>
      </x:c>
      <x:c r="H309" s="6" t="s">
        <x:v>2466</x:v>
      </x:c>
      <x:c r="I309" s="6" t="s">
        <x:v>1204</x:v>
      </x:c>
      <x:c r="J309" s="7" t="str">
        <x:f t="shared" si="8"/>
        <x:v>艾斯波还拜神</x:v>
      </x:c>
      <x:c r="K309" s="7" t="str">
        <x:f t="shared" si="9"/>
        <x:v>APPROVED</x:v>
      </x:c>
      <x:c r="L309" s="4" t="s">
        <x:v>2467</x:v>
      </x:c>
    </x:row>
    <x:row r="310" ht="22.5" customHeight="1">
      <x:c r="A310" s="4" t="s">
        <x:v>15</x:v>
      </x:c>
      <x:c r="B310" s="4" t="s">
        <x:v>2468</x:v>
      </x:c>
      <x:c r="C310" s="4"/>
      <x:c r="D310" s="4" t="s">
        <x:v>622</x:v>
      </x:c>
      <x:c r="E310" s="4"/>
      <x:c r="F310" s="4" t="s">
        <x:v>622</x:v>
      </x:c>
      <x:c r="G310" s="5" t="s">
        <x:v>2469</x:v>
      </x:c>
      <x:c r="H310" s="6" t="s">
        <x:v>2470</x:v>
      </x:c>
      <x:c r="I310" s="6" t="s">
        <x:v>1204</x:v>
      </x:c>
      <x:c r="J310" s="7" t="str">
        <x:f t="shared" si="8"/>
        <x:v>艾斯波云移</x:v>
      </x:c>
      <x:c r="K310" s="7" t="str">
        <x:f t="shared" si="9"/>
        <x:v>APPROVED</x:v>
      </x:c>
      <x:c r="L310" s="4" t="s">
        <x:v>2471</x:v>
      </x:c>
    </x:row>
    <x:row r="311" ht="22.5" customHeight="1">
      <x:c r="A311" s="4" t="s">
        <x:v>15</x:v>
      </x:c>
      <x:c r="B311" s="4" t="s">
        <x:v>2472</x:v>
      </x:c>
      <x:c r="C311" s="4"/>
      <x:c r="D311" s="4" t="s">
        <x:v>2473</x:v>
      </x:c>
      <x:c r="E311" s="4"/>
      <x:c r="F311" s="4" t="s">
        <x:v>2473</x:v>
      </x:c>
      <x:c r="G311" s="5" t="s">
        <x:v>2474</x:v>
      </x:c>
      <x:c r="H311" s="6" t="s">
        <x:v>2475</x:v>
      </x:c>
      <x:c r="I311" s="6" t="s">
        <x:v>1204</x:v>
      </x:c>
      <x:c r="J311" s="7" t="str">
        <x:f t="shared" si="8"/>
        <x:v>蓝白云移</x:v>
      </x:c>
      <x:c r="K311" s="7" t="str">
        <x:f t="shared" si="9"/>
        <x:v>APPROVED</x:v>
      </x:c>
      <x:c r="L311" s="4" t="s">
        <x:v>2476</x:v>
      </x:c>
    </x:row>
    <x:row r="312" ht="22.5" customHeight="1">
      <x:c r="A312" s="4" t="s">
        <x:v>15</x:v>
      </x:c>
      <x:c r="B312" s="4" t="s">
        <x:v>2477</x:v>
      </x:c>
      <x:c r="C312" s="4"/>
      <x:c r="D312" s="4" t="s">
        <x:v>2478</x:v>
      </x:c>
      <x:c r="E312" s="4"/>
      <x:c r="F312" s="4" t="s">
        <x:v>2478</x:v>
      </x:c>
      <x:c r="G312" s="5" t="s">
        <x:v>2479</x:v>
      </x:c>
      <x:c r="H312" s="6" t="s">
        <x:v>2480</x:v>
      </x:c>
      <x:c r="I312" s="6" t="s">
        <x:v>1204</x:v>
      </x:c>
      <x:c r="J312" s="7" t="str">
        <x:f t="shared" si="8"/>
        <x:v>洁斯凯曾哥剑</x:v>
      </x:c>
      <x:c r="K312" s="7" t="str">
        <x:f t="shared" si="9"/>
        <x:v>APPROVED</x:v>
      </x:c>
      <x:c r="L312" s="4" t="s">
        <x:v>2481</x:v>
      </x:c>
    </x:row>
    <x:row r="313" ht="22.5" customHeight="1">
      <x:c r="A313" s="4" t="s">
        <x:v>15</x:v>
      </x:c>
      <x:c r="B313" s="4" t="s">
        <x:v>2482</x:v>
      </x:c>
      <x:c r="C313" s="4"/>
      <x:c r="D313" s="4" t="s">
        <x:v>2483</x:v>
      </x:c>
      <x:c r="E313" s="4"/>
      <x:c r="F313" s="4" t="s">
        <x:v>2483</x:v>
      </x:c>
      <x:c r="G313" s="5" t="s">
        <x:v>2484</x:v>
      </x:c>
      <x:c r="H313" s="6" t="s">
        <x:v>2485</x:v>
      </x:c>
      <x:c r="I313" s="6" t="s">
        <x:v>1204</x:v>
      </x:c>
      <x:c r="J313" s="7" t="str">
        <x:f t="shared" si="8"/>
        <x:v>洁斯凯云移</x:v>
      </x:c>
      <x:c r="K313" s="7" t="str">
        <x:f t="shared" si="9"/>
        <x:v>APPROVED</x:v>
      </x:c>
      <x:c r="L313" s="4" t="s">
        <x:v>2486</x:v>
      </x:c>
    </x:row>
    <x:row r="314" ht="22.5" customHeight="1">
      <x:c r="A314" s="4" t="s">
        <x:v>15</x:v>
      </x:c>
      <x:c r="B314" s="4" t="s">
        <x:v>2487</x:v>
      </x:c>
      <x:c r="C314" s="4"/>
      <x:c r="D314" s="4" t="s">
        <x:v>2488</x:v>
      </x:c>
      <x:c r="E314" s="4"/>
      <x:c r="F314" s="4" t="s">
        <x:v>2488</x:v>
      </x:c>
      <x:c r="G314" s="5" t="s">
        <x:v>2489</x:v>
      </x:c>
      <x:c r="H314" s="6" t="s">
        <x:v>2490</x:v>
      </x:c>
      <x:c r="I314" s="6" t="s">
        <x:v>1204</x:v>
      </x:c>
      <x:c r="J314" s="7" t="str">
        <x:f t="shared" si="8"/>
        <x:v>玛尔都云移</x:v>
      </x:c>
      <x:c r="K314" s="7" t="str">
        <x:f t="shared" si="9"/>
        <x:v>APPROVED</x:v>
      </x:c>
      <x:c r="L314" s="4" t="s">
        <x:v>2491</x:v>
      </x:c>
    </x:row>
    <x:row r="315" ht="22.5" customHeight="1">
      <x:c r="A315" s="4" t="s">
        <x:v>15</x:v>
      </x:c>
      <x:c r="B315" s="4" t="s">
        <x:v>2492</x:v>
      </x:c>
      <x:c r="C315" s="4"/>
      <x:c r="D315" s="4" t="s">
        <x:v>2493</x:v>
      </x:c>
      <x:c r="E315" s="4"/>
      <x:c r="F315" s="4" t="s">
        <x:v>2493</x:v>
      </x:c>
      <x:c r="G315" s="5" t="s">
        <x:v>2494</x:v>
      </x:c>
      <x:c r="H315" s="6" t="s">
        <x:v>2495</x:v>
      </x:c>
      <x:c r="I315" s="6" t="s">
        <x:v>1204</x:v>
      </x:c>
      <x:c r="J315" s="7" t="str">
        <x:f t="shared" si="8"/>
        <x:v>黑白云移</x:v>
      </x:c>
      <x:c r="K315" s="7" t="str">
        <x:f t="shared" si="9"/>
        <x:v>APPROVED</x:v>
      </x:c>
      <x:c r="L315" s="4" t="s">
        <x:v>2496</x:v>
      </x:c>
    </x:row>
    <x:row r="316" ht="22.5" customHeight="1">
      <x:c r="A316" s="4" t="s">
        <x:v>15</x:v>
      </x:c>
      <x:c r="B316" s="4" t="s">
        <x:v>2497</x:v>
      </x:c>
      <x:c r="C316" s="4"/>
      <x:c r="D316" s="4" t="s">
        <x:v>644</x:v>
      </x:c>
      <x:c r="E316" s="4"/>
      <x:c r="F316" s="4" t="s">
        <x:v>644</x:v>
      </x:c>
      <x:c r="G316" s="5" t="s">
        <x:v>2498</x:v>
      </x:c>
      <x:c r="H316" s="6" t="s">
        <x:v>2499</x:v>
      </x:c>
      <x:c r="I316" s="6" t="s">
        <x:v>1204</x:v>
      </x:c>
      <x:c r="J316" s="7" t="str">
        <x:f t="shared" si="8"/>
        <x:v>奥札奇吟颂</x:v>
      </x:c>
      <x:c r="K316" s="7" t="str">
        <x:f t="shared" si="9"/>
        <x:v>APPROVED</x:v>
      </x:c>
      <x:c r="L316" s="4" t="s">
        <x:v>2500</x:v>
      </x:c>
    </x:row>
    <x:row r="317" ht="22.5" customHeight="1">
      <x:c r="A317" s="4" t="s">
        <x:v>15</x:v>
      </x:c>
      <x:c r="B317" s="4" t="s">
        <x:v>2501</x:v>
      </x:c>
      <x:c r="C317" s="4"/>
      <x:c r="D317" s="4" t="s">
        <x:v>2502</x:v>
      </x:c>
      <x:c r="E317" s="4"/>
      <x:c r="F317" s="4" t="s">
        <x:v>2502</x:v>
      </x:c>
      <x:c r="G317" s="5" t="s">
        <x:v>2503</x:v>
      </x:c>
      <x:c r="H317" s="6" t="s">
        <x:v>2504</x:v>
      </x:c>
      <x:c r="I317" s="6" t="s">
        <x:v>1204</x:v>
      </x:c>
      <x:c r="J317" s="7" t="str">
        <x:f t="shared" si="8"/>
        <x:v>红黑裂罅</x:v>
      </x:c>
      <x:c r="K317" s="7" t="str">
        <x:f t="shared" si="9"/>
        <x:v>APPROVED</x:v>
      </x:c>
      <x:c r="L317" s="4" t="s">
        <x:v>2505</x:v>
      </x:c>
    </x:row>
    <x:row r="318" ht="22.5" customHeight="1">
      <x:c r="A318" s="4" t="s">
        <x:v>15</x:v>
      </x:c>
      <x:c r="B318" s="4" t="s">
        <x:v>2506</x:v>
      </x:c>
      <x:c r="C318" s="4"/>
      <x:c r="D318" s="4" t="s">
        <x:v>2507</x:v>
      </x:c>
      <x:c r="E318" s="4"/>
      <x:c r="F318" s="4" t="s">
        <x:v>2507</x:v>
      </x:c>
      <x:c r="G318" s="5" t="s">
        <x:v>2508</x:v>
      </x:c>
      <x:c r="H318" s="6" t="s">
        <x:v>2509</x:v>
      </x:c>
      <x:c r="I318" s="6" t="s">
        <x:v>1204</x:v>
      </x:c>
      <x:c r="J318" s="7" t="str">
        <x:f t="shared" si="8"/>
        <x:v>红蓝裂罅</x:v>
      </x:c>
      <x:c r="K318" s="7" t="str">
        <x:f t="shared" si="9"/>
        <x:v>APPROVED</x:v>
      </x:c>
      <x:c r="L318" s="4" t="s">
        <x:v>2510</x:v>
      </x:c>
    </x:row>
    <x:row r="319" ht="22.5" customHeight="1">
      <x:c r="A319" s="4" t="s">
        <x:v>15</x:v>
      </x:c>
      <x:c r="B319" s="4" t="s">
        <x:v>2511</x:v>
      </x:c>
      <x:c r="C319" s="4"/>
      <x:c r="D319" s="4" t="s">
        <x:v>2512</x:v>
      </x:c>
      <x:c r="E319" s="4"/>
      <x:c r="F319" s="4" t="s">
        <x:v>2512</x:v>
      </x:c>
      <x:c r="G319" s="5" t="s">
        <x:v>2513</x:v>
      </x:c>
      <x:c r="H319" s="6" t="s">
        <x:v>2514</x:v>
      </x:c>
      <x:c r="I319" s="6" t="s">
        <x:v>1204</x:v>
      </x:c>
      <x:c r="J319" s="7" t="str">
        <x:f t="shared" si="8"/>
        <x:v>欧那斯中速</x:v>
      </x:c>
      <x:c r="K319" s="7" t="str">
        <x:f t="shared" si="9"/>
        <x:v>APPROVED</x:v>
      </x:c>
      <x:c r="L319" s="4" t="s">
        <x:v>2515</x:v>
      </x:c>
    </x:row>
    <x:row r="320" ht="22.5" customHeight="1">
      <x:c r="A320" s="4" t="s">
        <x:v>15</x:v>
      </x:c>
      <x:c r="B320" s="4" t="s">
        <x:v>2516</x:v>
      </x:c>
      <x:c r="C320" s="4"/>
      <x:c r="D320" s="4" t="s">
        <x:v>998</x:v>
      </x:c>
      <x:c r="E320" s="4"/>
      <x:c r="F320" s="4" t="s">
        <x:v>998</x:v>
      </x:c>
      <x:c r="G320" s="5" t="s">
        <x:v>2517</x:v>
      </x:c>
      <x:c r="H320" s="6" t="s">
        <x:v>2517</x:v>
      </x:c>
      <x:c r="I320" s="6" t="s">
        <x:v>1204</x:v>
      </x:c>
      <x:c r="J320" s="7" t="str">
        <x:f t="shared" si="8"/>
        <x:v>藤蔓石椁</x:v>
      </x:c>
      <x:c r="K320" s="7" t="str">
        <x:f t="shared" si="9"/>
        <x:v>APPROVED</x:v>
      </x:c>
      <x:c r="L320" s="4" t="s">
        <x:v>2518</x:v>
      </x:c>
    </x:row>
    <x:row r="321" ht="22.5" customHeight="1">
      <x:c r="A321" s="9" t="s">
        <x:v>15</x:v>
      </x:c>
      <x:c r="B321" s="9" t="s">
        <x:v>2519</x:v>
      </x:c>
      <x:c r="C321" s="9"/>
      <x:c r="D321" s="9" t="s">
        <x:v>2520</x:v>
      </x:c>
      <x:c r="E321" s="9"/>
      <x:c r="F321" s="9" t="s">
        <x:v>2520</x:v>
      </x:c>
      <x:c r="G321" s="10" t="s">
        <x:v>2521</x:v>
      </x:c>
      <x:c r="H321" s="14" t="s">
        <x:v>2521</x:v>
      </x:c>
      <x:c r="I321" s="11" t="s">
        <x:v>1204</x:v>
      </x:c>
      <x:c r="J321" s="12" t="str">
        <x:f t="shared" si="8"/>
        <x:v>红黑石椁</x:v>
      </x:c>
      <x:c r="K321" s="12" t="str">
        <x:f t="shared" si="9"/>
        <x:v>APPROVED</x:v>
      </x:c>
      <x:c r="L321" s="13" t="s">
        <x:v>2522</x:v>
      </x:c>
    </x:row>
    <x:row r="322" ht="22.5" customHeight="1">
      <x:c r="A322" s="4" t="s">
        <x:v>15</x:v>
      </x:c>
      <x:c r="B322" s="4" t="s">
        <x:v>2519</x:v>
      </x:c>
      <x:c r="C322" s="4" t="s">
        <x:v>1488</x:v>
      </x:c>
      <x:c r="D322" s="4" t="s">
        <x:v>2520</x:v>
      </x:c>
      <x:c r="E322" s="4" t="s">
        <x:v>1489</x:v>
      </x:c>
      <x:c r="F322" s="4" t="s">
        <x:v>2523</x:v>
      </x:c>
      <x:c r="G322" s="5" t="s">
        <x:v>2524</x:v>
      </x:c>
      <x:c r="H322" s="6" t="s">
        <x:v>2525</x:v>
      </x:c>
      <x:c r="I322" s="6" t="s">
        <x:v>1204</x:v>
      </x:c>
      <x:c r="J322" s="7" t="str">
        <x:f t="shared" si="8"/>
        <x:v>玛尔都石椁</x:v>
      </x:c>
      <x:c r="K322" s="7" t="str">
        <x:f t="shared" si="9"/>
        <x:v>APPROVED</x:v>
      </x:c>
      <x:c r="L322" s="4" t="s">
        <x:v>2526</x:v>
      </x:c>
    </x:row>
    <x:row r="323" ht="22.5" customHeight="1">
      <x:c r="A323" s="4" t="s">
        <x:v>15</x:v>
      </x:c>
      <x:c r="B323" s="4" t="s">
        <x:v>2519</x:v>
      </x:c>
      <x:c r="C323" s="4" t="s">
        <x:v>1426</x:v>
      </x:c>
      <x:c r="D323" s="4" t="s">
        <x:v>2520</x:v>
      </x:c>
      <x:c r="E323" s="4" t="s">
        <x:v>1427</x:v>
      </x:c>
      <x:c r="F323" s="4" t="s">
        <x:v>2520</x:v>
      </x:c>
      <x:c r="G323" s="5" t="s">
        <x:v>2527</x:v>
      </x:c>
      <x:c r="H323" s="6" t="s">
        <x:v>2521</x:v>
      </x:c>
      <x:c r="I323" s="6" t="s">
        <x:v>1204</x:v>
      </x:c>
      <x:c r="J323" s="7" t="str">
        <x:f t="shared" si="8"/>
        <x:v>红黑石椁</x:v>
      </x:c>
      <x:c r="K323" s="7" t="str">
        <x:f t="shared" si="9"/>
        <x:v>APPROVED</x:v>
      </x:c>
      <x:c r="L323" s="4" t="s">
        <x:v>2528</x:v>
      </x:c>
    </x:row>
    <x:row r="324" ht="22.5" customHeight="1">
      <x:c r="A324" s="4" t="s">
        <x:v>15</x:v>
      </x:c>
      <x:c r="B324" s="4" t="s">
        <x:v>2529</x:v>
      </x:c>
      <x:c r="C324" s="4"/>
      <x:c r="D324" s="4" t="s">
        <x:v>2530</x:v>
      </x:c>
      <x:c r="E324" s="4"/>
      <x:c r="F324" s="4" t="s">
        <x:v>2530</x:v>
      </x:c>
      <x:c r="G324" s="5" t="s">
        <x:v>2531</x:v>
      </x:c>
      <x:c r="H324" s="6" t="s">
        <x:v>2532</x:v>
      </x:c>
      <x:c r="I324" s="6" t="s">
        <x:v>1204</x:v>
      </x:c>
      <x:c r="J324" s="7" t="str">
        <x:f t="shared" si="8"/>
        <x:v>红黑介刀</x:v>
      </x:c>
      <x:c r="K324" s="7" t="str">
        <x:f t="shared" si="9"/>
        <x:v>APPROVED</x:v>
      </x:c>
      <x:c r="L324" s="4" t="s">
        <x:v>2533</x:v>
      </x:c>
    </x:row>
    <x:row r="325" ht="22.5" customHeight="1">
      <x:c r="A325" s="4" t="s">
        <x:v>15</x:v>
      </x:c>
      <x:c r="B325" s="4" t="s">
        <x:v>2534</x:v>
      </x:c>
      <x:c r="C325" s="4"/>
      <x:c r="D325" s="4" t="s">
        <x:v>2535</x:v>
      </x:c>
      <x:c r="E325" s="4"/>
      <x:c r="F325" s="4" t="s">
        <x:v>2535</x:v>
      </x:c>
      <x:c r="G325" s="5" t="s">
        <x:v>2536</x:v>
      </x:c>
      <x:c r="H325" s="6" t="s">
        <x:v>2536</x:v>
      </x:c>
      <x:c r="I325" s="6" t="s">
        <x:v>1204</x:v>
      </x:c>
      <x:c r="J325" s="7" t="str">
        <x:f>IF(H325&lt;&gt;"",H325,G325)</x:f>
        <x:v>纯红神器</x:v>
      </x:c>
      <x:c r="K325" s="7" t="str">
        <x:f>IF(I325="APPROVED","APPROVED",IF(I325="REVISE","REVISION REQUESTED","NEEDS OWNER REVIEW"))</x:f>
        <x:v>APPROVED</x:v>
      </x:c>
      <x:c r="L325" s="4" t="s">
        <x:v>2537</x:v>
      </x:c>
    </x:row>
    <x:row r="326" ht="22.5" customHeight="1">
      <x:c r="A326" s="4" t="s">
        <x:v>15</x:v>
      </x:c>
      <x:c r="B326" s="4" t="s">
        <x:v>2538</x:v>
      </x:c>
      <x:c r="C326" s="4"/>
      <x:c r="D326" s="4" t="s">
        <x:v>2539</x:v>
      </x:c>
      <x:c r="E326" s="4"/>
      <x:c r="F326" s="4" t="s">
        <x:v>2539</x:v>
      </x:c>
      <x:c r="G326" s="5" t="s">
        <x:v>2540</x:v>
      </x:c>
      <x:c r="H326" s="6" t="s">
        <x:v>2540</x:v>
      </x:c>
      <x:c r="I326" s="6" t="s">
        <x:v>1204</x:v>
      </x:c>
      <x:c r="J326" s="7" t="str">
        <x:f>IF(H326&lt;&gt;"",H326,G326)</x:f>
        <x:v>纯蓝塔脉炉</x:v>
      </x:c>
      <x:c r="K326" s="7" t="str">
        <x:f>IF(I326="APPROVED","APPROVED",IF(I326="REVISE","REVISION REQUESTED","NEEDS OWNER REVIEW"))</x:f>
        <x:v>APPROVED</x:v>
      </x:c>
      <x:c r="L326" s="4" t="s">
        <x:v>2541</x:v>
      </x:c>
    </x:row>
    <x:row r="327" ht="22.5" customHeight="1">
      <x:c r="A327" s="4" t="s">
        <x:v>15</x:v>
      </x:c>
      <x:c r="B327" s="4" t="s">
        <x:v>2542</x:v>
      </x:c>
      <x:c r="C327" s="4"/>
      <x:c r="D327" s="4" t="s">
        <x:v>2543</x:v>
      </x:c>
      <x:c r="E327" s="4"/>
      <x:c r="F327" s="4" t="s">
        <x:v>2543</x:v>
      </x:c>
      <x:c r="G327" s="5" t="s">
        <x:v>2544</x:v>
      </x:c>
      <x:c r="H327" s="6" t="s">
        <x:v>2544</x:v>
      </x:c>
      <x:c r="I327" s="6" t="s">
        <x:v>1204</x:v>
      </x:c>
      <x:c r="J327" s="7" t="str">
        <x:f>IF(H327&lt;&gt;"",H327,G327)</x:f>
        <x:v>纯黑 Saga</x:v>
      </x:c>
      <x:c r="K327" s="7" t="str">
        <x:f>IF(I327="APPROVED","APPROVED",IF(I327="REVISE","REVISION REQUESTED","NEEDS OWNER REVIEW"))</x:f>
        <x:v>APPROVED</x:v>
      </x:c>
      <x:c r="L327" s="4" t="s">
        <x:v>2545</x:v>
      </x:c>
    </x:row>
  </x:sheetData>
  <x:mergeCells>
    <x:mergeCell ref="A1:L1"/>
    <x:mergeCell ref="A2:L2"/>
  </x:mergeCells>
  <x:dataValidations count="1">
    <x:dataValidation type="list" sqref="I5:I303 I304:I327">
      <x:formula1>"PENDING,APPROVED,REVISE"</x:formula1>
    </x:dataValidation>
  </x:dataValidations>
  <x:pageMargins left="0.7" right="0.7" top="0.75" bottom="0.75" header="0.3" footer="0.3"/>
</x:worksheet>
</file>