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98319a8dbef04066" /></Relationships>
</file>

<file path=xl/workbook.xml><?xml version="1.0" encoding="utf-8"?>
<x:workbook xmlns:x="http://schemas.openxmlformats.org/spreadsheetml/2006/main">
  <x:sheets>
    <x:sheet xmlns:r="http://schemas.openxmlformats.org/officeDocument/2006/relationships" name="Review Control" sheetId="1" r:id="R4ff8b11661e44866"/>
    <x:sheet xmlns:r="http://schemas.openxmlformats.org/officeDocument/2006/relationships" name="Landing Copy" sheetId="2" r:id="R2f1199dddccc4aa2"/>
    <x:sheet xmlns:r="http://schemas.openxmlformats.org/officeDocument/2006/relationships" name="Featured Decks" sheetId="3" r:id="R7869cf3e4dd44766"/>
    <x:sheet xmlns:r="http://schemas.openxmlformats.org/officeDocument/2006/relationships" name="All Top 8" sheetId="4" r:id="Re3c9dfcee35444aa"/>
    <x:sheet xmlns:r="http://schemas.openxmlformats.org/officeDocument/2006/relationships" name="Field Guide" sheetId="5" r:id="R2060fcb283684a6f"/>
  </x:sheets>
</x:workbook>
</file>

<file path=xl/sharedStrings.xml><?xml version="1.0" encoding="utf-8"?>
<x:sst xmlns:x="http://schemas.openxmlformats.org/spreadsheetml/2006/main">
  <x:si>
    <x:t xml:space="preserve">P12-15B · Landing Review Control · W27 / W33 recovery</x:t>
  </x:si>
  <x:si>
    <x:t xml:space="preserve">Format</x:t>
  </x:si>
  <x:si>
    <x:t xml:space="preserve">Week</x:t>
  </x:si>
  <x:si>
    <x:t xml:space="preserve">Recovery Scope</x:t>
  </x:si>
  <x:si>
    <x:t xml:space="preserve">Top Copy Review</x:t>
  </x:si>
  <x:si>
    <x:t xml:space="preserve">Feature Review</x:t>
  </x:si>
  <x:si>
    <x:t xml:space="preserve">Chinese Review</x:t>
  </x:si>
  <x:si>
    <x:t xml:space="preserve">English Review</x:t>
  </x:si>
  <x:si>
    <x:t xml:space="preserve">Owner Notes</x:t>
  </x:si>
  <x:si>
    <x:t xml:space="preserve">standard</x:t>
  </x:si>
  <x:si>
    <x:t xml:space="preserve">2026-W27</x:t>
  </x:si>
  <x:si>
    <x:t xml:space="preserve">1 existing featured deck; feature recovery only</x:t>
  </x:si>
  <x:si>
    <x:t xml:space="preserve">NOT APPLICABLE</x:t>
  </x:si>
  <x:si>
    <x:t xml:space="preserve">PENDING</x:t>
  </x:si>
  <x:si>
    <x:t xml:space="preserve">2026-W33</x:t>
  </x:si>
  <x:si>
    <x:t xml:space="preserve">9 preserved top-copy rows; 14 mandatory top-copy feature decks plus 1 extra feature</x:t>
  </x:si>
  <x:si>
    <x:t xml:space="preserve">modern</x:t>
  </x:si>
  <x:si>
    <x:t xml:space="preserve">2 preserved top-copy rows; 2 mandatory top-copy feature decks</x:t>
  </x:si>
  <x:si>
    <x:t xml:space="preserve">Workbook Checks</x:t>
  </x:si>
  <x:si>
    <x:t xml:space="preserve">Metric</x:t>
  </x:si>
  <x:si>
    <x:t xml:space="preserve">Result</x:t>
  </x:si>
  <x:si>
    <x:t xml:space="preserve">Meaning</x:t>
  </x:si>
  <x:si>
    <x:t xml:space="preserve">KEEP top-copy rows</x:t>
  </x:si>
  <x:si>
    <x:t xml:space="preserve">Landing Copy 中将保留的段落数</x:t>
  </x:si>
  <x:si>
    <x:t xml:space="preserve">KEEP featured decks</x:t>
  </x:si>
  <x:si>
    <x:t xml:space="preserve">Featured Decks 中当前保留的套牌数</x:t>
  </x:si>
  <x:si>
    <x:t xml:space="preserve">Current-week Top 8 rows</x:t>
  </x:si>
  <x:si>
    <x:t xml:space="preserve">All Top 8 中可供追加的 W33 八强牌表数</x:t>
  </x:si>
  <x:si>
    <x:t xml:space="preserve">P12-15B · Landing Copy · preserved owner text and corrected Modern order</x:t>
  </x:si>
  <x:si>
    <x:t xml:space="preserve">只有 KEEP 行进入 Landing 顶端文字；按 Format 分组后依 Order 排序。正文中的精确 deck:xxxxxxxxxxxxxxxxxxxx 标记由后续导入器按当前语言替换为显示文字与链接，句子其余部分保持普通文本。下方参考区已在本工作表内列出所有现有精选套牌与正文链接。</x:t>
  </x:si>
  <x:si>
    <x:t xml:space="preserve">Review Result</x:t>
  </x:si>
  <x:si>
    <x:t xml:space="preserve">Order</x:t>
  </x:si>
  <x:si>
    <x:t xml:space="preserve">Chinese Copy</x:t>
  </x:si>
  <x:si>
    <x:t xml:space="preserve">English Draft</x:t>
  </x:si>
  <x:si>
    <x:t xml:space="preserve">English Final</x:t>
  </x:si>
  <x:si>
    <x:t xml:space="preserve">KEEP</x:t>
  </x:si>
  <x:si>
    <x:t xml:space="preserve">本周标准环境经历了两个变化：首先是上周的大禁牌（獾、蓝才能、奶奶）；然后HOB本周也进入了环境。不过相比之下HOB对环境的影响还是比较小的，主要还是禁牌的效果。</x:t>
  </x:si>
  <x:si>
    <x:t xml:space="preserve">The Standard metagame went through two changes this week: first, last week’s major bans (Badgermole Cub, Stormchaser’s Talent, and Gran-Gran); then HOB entered the format this week. HOB’s immediate impact has been relatively small, however, and the bans have been the much bigger factor.</x:t>
  </x:si>
  <x:si>
    <x:t xml:space="preserve">最显而易见的是上周还持续占据环境霸主地位的灵技套牌直接原地消失，组件一部分类似的投掷套牌也只剩一套。缺少了蓝才能飞去来这个最强配合之后类似思路的套牌强度确实是一落千丈。</x:t>
  </x:si>
  <x:si>
    <x:t xml:space="preserve">The most obvious result is that the Prowess deck that still dominated the format last week disappeared completely, while the Fling deck that shares some of its components was reduced to a single Top 8. Without the Stormchaser’s Talent and Boomerang Basics package—the strategy’s strongest interaction—decks built along similar lines have fallen off sharply.</x:t>
  </x:si>
  <x:si>
    <x:t xml:space="preserve">石板课在禁了奶奶之后，还以洁斯凯形态存在，并可以席卷两场。deck:0ef7de8666929e404c95 本来这个构筑其实就并不完全依赖奶奶，不过两场席卷的构筑都带了艺术家才能，第2章的减费效果一定程度上可以弥补失去奶奶之后的爆发力不足问题。</x:t>
  </x:si>
  <x:si>
    <x:t xml:space="preserve">Jeskai Lessons survived the Gran-Gran ban and even won two events. deck:0ef7de8666929e404c95 The archetype was never completely dependent on Gran-Gran to begin with, but both winning lists played Artist’s Talent. The cost reduction from its second chapter helps make up for some of the explosiveness lost with Gran-Gran.</x:t>
  </x:si>
  <x:si>
    <x:t xml:space="preserve">而禁牌后第一周的最大赢家暂时是纯绿地落和蓝黑中速，并列高胜占比第一，而且八强占比也分列前二。地落用什么填补獾的位置暂时还没有定论，这四个位置其实对套牌强度的影响不算太大。席卷的版本一个是用了鼹鼠人和比利：deck:113f08b5c4dcc7b5e1ce；另一套2费Ramp同根共生和小浣熊锐目鉴物客：deck:3b20a57979ef845780d2</x:t>
  </x:si>
  <x:si>
    <x:t xml:space="preserve">The early winners of the first post-ban week are Mono-Green Landfall and Dimir Midrange. They are tied for first in high-score share and also rank first and second in Top 8 share. Landfall has not settled on a replacement for Badgermole Cub, and in practice those four slots do not appear to matter very much to the deck’s overall strength. One winning list used Mole Man, Moloid Master and Bristly Bill, Spine Sower: deck:113f08b5c4dcc7b5e1ce; the other used the two-mana ramp spell Shared Roots alongside Keen-Eyed Curator: deck:3b20a57979ef845780d2</x:t>
  </x:si>
  <x:si>
    <x:t xml:space="preserve">而蓝黑中速其实在上个环境末期，加入了黄蜂女和新的2费康之后，就有一点点复苏的趋势，经历了一个无伤禁牌表后彻底复活：deck:6552a16bef7fa5293b5d。另外还有一个满编萨克维尔巴金斯家族，并携带群袭智者配合的版本拿下八强：deck:cf1060bd38d38c8f161f</x:t>
  </x:si>
  <x:si>
    <x:t xml:space="preserve">Dimir Midrange had already begun to show signs of recovery late in the previous metagame after adding The Wondrous Wasp and the new two-mana counterspell We Say Thee Nay! After passing through the ban announcement untouched, it has now made a full comeback: deck:6552a16bef7fa5293b5d. Another Top 8 list maxed out on The Sackville-Bagginses and paired it with Infestation Sage: deck:cf1060bd38d38c8f161f</x:t>
  </x:si>
  <x:si>
    <x:t xml:space="preserve">黑白回血近期也还算比较坚挺，本周席卷一场，不过是和之前构筑不太一样的满编召起过往的版本：deck:085fbae05701d25afeda</x:t>
  </x:si>
  <x:si>
    <x:t xml:space="preserve">Orzhov Lifegain has also remained fairly resilient. It won one event this week, but with a build that differs from previous versions by playing a full set of Raise the Past: deck:085fbae05701d25afeda</x:t>
  </x:si>
  <x:si>
    <x:t xml:space="preserve">其他HOB新牌方面，能在第一周进入环境的牌确实并不多。影响最大的应该是斯毛格，重新激活了龙部族套牌，红白龙（deck:a1ee1d77d2a2ebb3ff9d），纯红龙（deck:96749dc528008eb7a201）都有多个八强成绩。</x:t>
  </x:si>
  <x:si>
    <x:t xml:space="preserve">As for the other new HOB cards, very few managed to break into the format in the first week. Smaug the Magnificent appears to have had the biggest impact, reviving the Dragon tribal decks: both Boros Dragons (deck:a1ee1d77d2a2ebb3ff9d) and Mono-Red Dragons (deck:96749dc528008eb7a201) posted multiple Top 8 finishes.</x:t>
  </x:si>
  <x:si>
    <x:t xml:space="preserve">其他新牌就只有零星出现了。一套带了两个侧门钥匙的四色人类拿下一个亚军（deck:72768a4ea7b144822c74）；满编老迈异常的鸟的蓝白救援取得八强（deck:492b0e40d4a2f0bdc168）；携带两个劫掠食人妖森林的洁斯凯石板拿下八强（deck:3e9daa72448ce4e0b276）；还有一个混红带红蓝围攻的洁斯凯模模带了两张鹰王同样取得八强（deck:1eedf5459507770b0502）。</x:t>
  </x:si>
  <x:si>
    <x:t xml:space="preserve">Other new cards appeared only sporadically. A Five-Color Humans list with two copies of Key to the Side-Door finished second (deck:72768a4ea7b144822c74); an Azorius Oculus list maxing out on Most Decrepit Old Bird reached the Top 8 (deck:492b0e40d4a2f0bdc168); a Jeskai Tablet list with two copies of Plunder the Trollshaws also made the Top 8 (deck:3e9daa72448ce4e0b276); and a red-splash Jeskai Momo list using Frostcliff Siege and two copies of The Lord of the Eagles reached the Top 8 as well (deck:1eedf5459507770b0502).</x:t>
  </x:si>
  <x:si>
    <x:t xml:space="preserve">格利极石板控制思路首次进入八强：deck:96b30d5e076425e95de6。不是HOB的新科技，而是用非凡龙配合炸地的格利极版本石板套牌。基本思路还是石板控，不过相比以往石板控ramp出大招的思路，这套牌更偏控场和炸地。自由的代价和复仇者解散在非凡龙站场的情况下都可以直接炸两块地，同时扫场扫6非凡龙加豆还不会死。不过相比传统石板控的洁斯凯启示，这个终端在现环境下并没有特别强力。</x:t>
  </x:si>
  <x:si>
    <x:t xml:space="preserve">A Grixis Tablet control shell reached the Top 8 for the first time: deck:96b30d5e076425e95de6. This was not a new piece of HOB technology, but a Grixis Tablet build that combines Fin Fang Foom with land destruction. The core is still Tablet Control, but instead of ramping toward a large finisher like earlier builds, this list leans more heavily on board control and attacking mana. With Fin Fang Foom in play, both Price of Freedom and Avengers Disassembled can destroy two lands outright, while a six-damage sweeper leaves the Dragon alive and adds a counter to it. Compared with Jeskai Revelation, the traditional Tablet Control finisher, however, this endgame does not look especially powerful in the current field.</x:t>
  </x:si>
  <x:si>
    <x:t xml:space="preserve">HOB在摩登基本上没有任何存在感，整个周的八强套牌中只有一套红白能量带了1张贝拉多娜·图克：deck:ad346963fcf45a711737</x:t>
  </x:si>
  <x:si>
    <x:t xml:space="preserve">HOB had virtually no presence in Modern. Across the entire week’s Top 8 lists, only a single Boros Energy deck played even one copy of Belladonna Took: deck:ad346963fcf45a711737</x:t>
  </x:si>
  <x:si>
    <x:t xml:space="preserve">本周摩登有一场超级RCQ，301人参加，最终由洁斯凯能量席卷：deck:af10094d2257be87dcfd。另外三个资格由藤蔓石椁、黑绿死冥、红蓝灵技拿到。八强也是八套牌，充分体现了现在摩登的混战局面。自从上次禁牌之后，有几周艾斯波怨灵短暂超过10%占比，但按四周区间平均，没有一套牌能做到这一点。</x:t>
  </x:si>
  <x:si>
    <x:t xml:space="preserve">This week’s Modern schedule included a 301-player Super RCQ, which was won by Jeskai Energy: deck:af10094d2257be87dcfd. The other three qualifications went to Hollowvine, Necrodominance, and Prowess. The Top 8 also featured eight different decks, underscoring just how open Modern currently is. Since the last ban announcement, Esper Goryo's briefly rose above 10% share in a few previous weeks, but no archetype has managed to average 10% across a four-week window.</x:t>
  </x:si>
  <x:si>
    <x:t xml:space="preserve">Deck references available in this sheet</x:t>
  </x:si>
  <x:si>
    <x:t xml:space="preserve">Role</x:t>
  </x:si>
  <x:si>
    <x:t xml:space="preserve">Feature Week</x:t>
  </x:si>
  <x:si>
    <x:t xml:space="preserve">Chinese Display</x:t>
  </x:si>
  <x:si>
    <x:t xml:space="preserve">English Display</x:t>
  </x:si>
  <x:si>
    <x:t xml:space="preserve">Deck Page</x:t>
  </x:si>
  <x:si>
    <x:t xml:space="preserve">Event</x:t>
  </x:si>
  <x:si>
    <x:t xml:space="preserve">Date</x:t>
  </x:si>
  <x:si>
    <x:t xml:space="preserve">Rank</x:t>
  </x:si>
  <x:si>
    <x:t xml:space="preserve">Deck</x:t>
  </x:si>
  <x:si>
    <x:t xml:space="preserve">Player</x:t>
  </x:si>
  <x:si>
    <x:t xml:space="preserve">Deck Link ID</x:t>
  </x:si>
  <x:si>
    <x:t xml:space="preserve">2026-W33 · All Top 8 · exact current-week decks for unrestricted additions</x:t>
  </x:si>
  <x:si>
    <x:t xml:space="preserve">需要把未预选的套牌加入底部 Feature 时，在 Add to Featured? 选择 ADD，并可在 Owner Note 写明用途。任何复制到 Landing 顶端正文的 Deck Link ID 必须同时加入 Featured Decks；其余蓝色栏为只读身份与链接。</x:t>
  </x:si>
  <x:si>
    <x:t xml:space="preserve">Add to Featured?</x:t>
  </x:si>
  <x:si>
    <x:t xml:space="preserve">Owner Note</x:t>
  </x:si>
  <x:si>
    <x:t xml:space="preserve">Standard Challenge 32 · 12851126</x:t>
  </x:si>
  <x:si>
    <x:t xml:space="preserve">2026-08-10</x:t>
  </x:si>
  <x:si>
    <x:t xml:space="preserve">Izzet Spellementals</x:t>
  </x:si>
  <x:si>
    <x:t xml:space="preserve">J0hnWick</x:t>
  </x:si>
  <x:si>
    <x:t xml:space="preserve">deck:90e395c2c8bbb985bfba</x:t>
  </x:si>
  <x:si>
    <x:t xml:space="preserve">Izzet Spellementals · J0hnWick · 第1名</x:t>
  </x:si>
  <x:si>
    <x:t xml:space="preserve">Izzet Spellementals · J0hnWick · Rank 1</x:t>
  </x:si>
  <x:si>
    <x:t xml:space="preserve">https://jacelber.github.io/mtgo-data/index.html?format=standard&amp;product=mtgo-top8&amp;week=2026-W33&amp;detail=12851126%3A1&amp;lang=zh</x:t>
  </x:si>
  <x:si>
    <x:t xml:space="preserve">4-Color Tablet</x:t>
  </x:si>
  <x:si>
    <x:t xml:space="preserve">Ignotus97</x:t>
  </x:si>
  <x:si>
    <x:t xml:space="preserve">deck:209049c348105941308c</x:t>
  </x:si>
  <x:si>
    <x:t xml:space="preserve">4-Color Tablet · Ignotus97 · 第2名</x:t>
  </x:si>
  <x:si>
    <x:t xml:space="preserve">4-Color Tablet · Ignotus97 · Rank 2</x:t>
  </x:si>
  <x:si>
    <x:t xml:space="preserve">https://jacelber.github.io/mtgo-data/index.html?format=standard&amp;product=mtgo-top8&amp;week=2026-W33&amp;detail=12851126%3A2&amp;lang=zh</x:t>
  </x:si>
  <x:si>
    <x:t xml:space="preserve">marceliiine</x:t>
  </x:si>
  <x:si>
    <x:t xml:space="preserve">deck:5640b1e530d5137536b0</x:t>
  </x:si>
  <x:si>
    <x:t xml:space="preserve">4-Color Tablet · marceliiine · 第3名</x:t>
  </x:si>
  <x:si>
    <x:t xml:space="preserve">4-Color Tablet · marceliiine · Rank 3</x:t>
  </x:si>
  <x:si>
    <x:t xml:space="preserve">https://jacelber.github.io/mtgo-data/index.html?format=standard&amp;product=mtgo-top8&amp;week=2026-W33&amp;detail=12851126%3A3&amp;lang=zh</x:t>
  </x:si>
  <x:si>
    <x:t xml:space="preserve">Sultai Reanimator</x:t>
  </x:si>
  <x:si>
    <x:t xml:space="preserve">P3SUS</x:t>
  </x:si>
  <x:si>
    <x:t xml:space="preserve">deck:6ea9d9a35ba5e424dc38</x:t>
  </x:si>
  <x:si>
    <x:t xml:space="preserve">Sultai Reanimator · P3SUS · 第4名</x:t>
  </x:si>
  <x:si>
    <x:t xml:space="preserve">Sultai Reanimator · P3SUS · Rank 4</x:t>
  </x:si>
  <x:si>
    <x:t xml:space="preserve">https://jacelber.github.io/mtgo-data/index.html?format=standard&amp;product=mtgo-top8&amp;week=2026-W33&amp;detail=12851126%3A4&amp;lang=zh</x:t>
  </x:si>
  <x:si>
    <x:t xml:space="preserve">Azorius Prison</x:t>
  </x:si>
  <x:si>
    <x:t xml:space="preserve">secr3tm0de</x:t>
  </x:si>
  <x:si>
    <x:t xml:space="preserve">deck:bf3cbab61a82c85024d1</x:t>
  </x:si>
  <x:si>
    <x:t xml:space="preserve">Azorius Prison · secr3tm0de · 第5名</x:t>
  </x:si>
  <x:si>
    <x:t xml:space="preserve">Azorius Prison · secr3tm0de · Rank 5</x:t>
  </x:si>
  <x:si>
    <x:t xml:space="preserve">https://jacelber.github.io/mtgo-data/index.html?format=standard&amp;product=mtgo-top8&amp;week=2026-W33&amp;detail=12851126%3A5&amp;lang=zh</x:t>
  </x:si>
  <x:si>
    <x:t xml:space="preserve">willjetz1323</x:t>
  </x:si>
  <x:si>
    <x:t xml:space="preserve">deck:5fbe1b00f0e584edb668</x:t>
  </x:si>
  <x:si>
    <x:t xml:space="preserve">Sultai Reanimator · willjetz1323 · 第6名</x:t>
  </x:si>
  <x:si>
    <x:t xml:space="preserve">Sultai Reanimator · willjetz1323 · Rank 6</x:t>
  </x:si>
  <x:si>
    <x:t xml:space="preserve">https://jacelber.github.io/mtgo-data/index.html?format=standard&amp;product=mtgo-top8&amp;week=2026-W33&amp;detail=12851126%3A6&amp;lang=zh</x:t>
  </x:si>
  <x:si>
    <x:t xml:space="preserve">Dimir Midrange</x:t>
  </x:si>
  <x:si>
    <x:t xml:space="preserve">hermanomlg</x:t>
  </x:si>
  <x:si>
    <x:t xml:space="preserve">deck:c1fd251082fe189fee23</x:t>
  </x:si>
  <x:si>
    <x:t xml:space="preserve">Dimir Midrange · hermanomlg · 第7名</x:t>
  </x:si>
  <x:si>
    <x:t xml:space="preserve">Dimir Midrange · hermanomlg · Rank 7</x:t>
  </x:si>
  <x:si>
    <x:t xml:space="preserve">https://jacelber.github.io/mtgo-data/index.html?format=standard&amp;product=mtgo-top8&amp;week=2026-W33&amp;detail=12851126%3A7&amp;lang=zh</x:t>
  </x:si>
  <x:si>
    <x:t xml:space="preserve">Dimir Excruciator</x:t>
  </x:si>
  <x:si>
    <x:t xml:space="preserve">VitorCarvalho01</x:t>
  </x:si>
  <x:si>
    <x:t xml:space="preserve">deck:bd430669d12653ca10bd</x:t>
  </x:si>
  <x:si>
    <x:t xml:space="preserve">Dimir Excruciator · VitorCarvalho01 · 第8名</x:t>
  </x:si>
  <x:si>
    <x:t xml:space="preserve">Dimir Excruciator · VitorCarvalho01 · Rank 8</x:t>
  </x:si>
  <x:si>
    <x:t xml:space="preserve">https://jacelber.github.io/mtgo-data/index.html?format=standard&amp;product=mtgo-top8&amp;week=2026-W33&amp;detail=12851126%3A8&amp;lang=zh</x:t>
  </x:si>
  <x:si>
    <x:t xml:space="preserve">Standard Challenge 32 · 12851611</x:t>
  </x:si>
  <x:si>
    <x:t xml:space="preserve">2026-08-11</x:t>
  </x:si>
  <x:si>
    <x:t xml:space="preserve">Mono-Green Landfall</x:t>
  </x:si>
  <x:si>
    <x:t xml:space="preserve">Brasatore</x:t>
  </x:si>
  <x:si>
    <x:t xml:space="preserve">deck:113f08b5c4dcc7b5e1ce</x:t>
  </x:si>
  <x:si>
    <x:t xml:space="preserve">Mono-Green Landfall · Brasatore · 第1名</x:t>
  </x:si>
  <x:si>
    <x:t xml:space="preserve">Mono-Green Landfall · Brasatore · Rank 1</x:t>
  </x:si>
  <x:si>
    <x:t xml:space="preserve">https://jacelber.github.io/mtgo-data/index.html?format=standard&amp;product=mtgo-top8&amp;week=2026-W33&amp;detail=12851611%3A1&amp;lang=zh</x:t>
  </x:si>
  <x:si>
    <x:t xml:space="preserve">HolaChico</x:t>
  </x:si>
  <x:si>
    <x:t xml:space="preserve">deck:474b92fc767c4cd6dd96</x:t>
  </x:si>
  <x:si>
    <x:t xml:space="preserve">Izzet Spellementals · HolaChico · 第2名</x:t>
  </x:si>
  <x:si>
    <x:t xml:space="preserve">Izzet Spellementals · HolaChico · Rank 2</x:t>
  </x:si>
  <x:si>
    <x:t xml:space="preserve">https://jacelber.github.io/mtgo-data/index.html?format=standard&amp;product=mtgo-top8&amp;week=2026-W33&amp;detail=12851611%3A2&amp;lang=zh</x:t>
  </x:si>
  <x:si>
    <x:t xml:space="preserve">Orzhov Lifegain</x:t>
  </x:si>
  <x:si>
    <x:t xml:space="preserve">7steamvents</x:t>
  </x:si>
  <x:si>
    <x:t xml:space="preserve">deck:69c0af88c87cdbe69bff</x:t>
  </x:si>
  <x:si>
    <x:t xml:space="preserve">Orzhov Lifegain · 7steamvents · 第3名</x:t>
  </x:si>
  <x:si>
    <x:t xml:space="preserve">Orzhov Lifegain · 7steamvents · Rank 3</x:t>
  </x:si>
  <x:si>
    <x:t xml:space="preserve">https://jacelber.github.io/mtgo-data/index.html?format=standard&amp;product=mtgo-top8&amp;week=2026-W33&amp;detail=12851611%3A3&amp;lang=zh</x:t>
  </x:si>
  <x:si>
    <x:t xml:space="preserve">optivial</x:t>
  </x:si>
  <x:si>
    <x:t xml:space="preserve">deck:45b90b392341cb190a36</x:t>
  </x:si>
  <x:si>
    <x:t xml:space="preserve">Mono-Green Landfall · optivial · 第4名</x:t>
  </x:si>
  <x:si>
    <x:t xml:space="preserve">Mono-Green Landfall · optivial · Rank 4</x:t>
  </x:si>
  <x:si>
    <x:t xml:space="preserve">https://jacelber.github.io/mtgo-data/index.html?format=standard&amp;product=mtgo-top8&amp;week=2026-W33&amp;detail=12851611%3A4&amp;lang=zh</x:t>
  </x:si>
  <x:si>
    <x:t xml:space="preserve">DB_MasonClark</x:t>
  </x:si>
  <x:si>
    <x:t xml:space="preserve">deck:dc7d47bbb34d06f4990f</x:t>
  </x:si>
  <x:si>
    <x:t xml:space="preserve">Mono-Green Landfall · DB_MasonClark · 第5名</x:t>
  </x:si>
  <x:si>
    <x:t xml:space="preserve">Mono-Green Landfall · DB_MasonClark · Rank 5</x:t>
  </x:si>
  <x:si>
    <x:t xml:space="preserve">https://jacelber.github.io/mtgo-data/index.html?format=standard&amp;product=mtgo-top8&amp;week=2026-W33&amp;detail=12851611%3A5&amp;lang=zh</x:t>
  </x:si>
  <x:si>
    <x:t xml:space="preserve">deck:cde273bf978c93d2327e</x:t>
  </x:si>
  <x:si>
    <x:t xml:space="preserve">Dimir Excruciator · VitorCarvalho01 · 第6名</x:t>
  </x:si>
  <x:si>
    <x:t xml:space="preserve">Dimir Excruciator · VitorCarvalho01 · Rank 6</x:t>
  </x:si>
  <x:si>
    <x:t xml:space="preserve">https://jacelber.github.io/mtgo-data/index.html?format=standard&amp;product=mtgo-top8&amp;week=2026-W33&amp;detail=12851611%3A6&amp;lang=zh</x:t>
  </x:si>
  <x:si>
    <x:t xml:space="preserve">Jeskai Lessons</x:t>
  </x:si>
  <x:si>
    <x:t xml:space="preserve">simoneromarm</x:t>
  </x:si>
  <x:si>
    <x:t xml:space="preserve">deck:61db70977e142bb296f5</x:t>
  </x:si>
  <x:si>
    <x:t xml:space="preserve">Jeskai Lessons · simoneromarm · 第7名</x:t>
  </x:si>
  <x:si>
    <x:t xml:space="preserve">Jeskai Lessons · simoneromarm · Rank 7</x:t>
  </x:si>
  <x:si>
    <x:t xml:space="preserve">https://jacelber.github.io/mtgo-data/index.html?format=standard&amp;product=mtgo-top8&amp;week=2026-W33&amp;detail=12851611%3A7&amp;lang=zh</x:t>
  </x:si>
  <x:si>
    <x:t xml:space="preserve">Mardu Discard</x:t>
  </x:si>
  <x:si>
    <x:t xml:space="preserve">taldoitalo</x:t>
  </x:si>
  <x:si>
    <x:t xml:space="preserve">deck:1c79de094686216349fb</x:t>
  </x:si>
  <x:si>
    <x:t xml:space="preserve">Mardu Discard · taldoitalo · 第8名</x:t>
  </x:si>
  <x:si>
    <x:t xml:space="preserve">Mardu Discard · taldoitalo · Rank 8</x:t>
  </x:si>
  <x:si>
    <x:t xml:space="preserve">https://jacelber.github.io/mtgo-data/index.html?format=standard&amp;product=mtgo-top8&amp;week=2026-W33&amp;detail=12851611%3A8&amp;lang=zh</x:t>
  </x:si>
  <x:si>
    <x:t xml:space="preserve">Standard Challenge 32 · 12851628</x:t>
  </x:si>
  <x:si>
    <x:t xml:space="preserve">2026-08-13</x:t>
  </x:si>
  <x:si>
    <x:t xml:space="preserve">Bolas299</x:t>
  </x:si>
  <x:si>
    <x:t xml:space="preserve">deck:bd9fe0d20aea3f286b48</x:t>
  </x:si>
  <x:si>
    <x:t xml:space="preserve">Jeskai Lessons · Bolas299 · 第1名</x:t>
  </x:si>
  <x:si>
    <x:t xml:space="preserve">Jeskai Lessons · Bolas299 · Rank 1</x:t>
  </x:si>
  <x:si>
    <x:t xml:space="preserve">https://jacelber.github.io/mtgo-data/index.html?format=standard&amp;product=mtgo-top8&amp;week=2026-W33&amp;detail=12851628%3A1&amp;lang=zh</x:t>
  </x:si>
  <x:si>
    <x:t xml:space="preserve">Five-Color Humans</x:t>
  </x:si>
  <x:si>
    <x:t xml:space="preserve">burnet7</x:t>
  </x:si>
  <x:si>
    <x:t xml:space="preserve">deck:72768a4ea7b144822c74</x:t>
  </x:si>
  <x:si>
    <x:t xml:space="preserve">Five-Color Humans · burnet7 · 第2名</x:t>
  </x:si>
  <x:si>
    <x:t xml:space="preserve">Five-Color Humans · burnet7 · Rank 2</x:t>
  </x:si>
  <x:si>
    <x:t xml:space="preserve">https://jacelber.github.io/mtgo-data/index.html?format=standard&amp;product=mtgo-top8&amp;week=2026-W33&amp;detail=12851628%3A2&amp;lang=zh</x:t>
  </x:si>
  <x:si>
    <x:t xml:space="preserve">Mikebrav</x:t>
  </x:si>
  <x:si>
    <x:t xml:space="preserve">deck:5d5aa8dbba03b8edce79</x:t>
  </x:si>
  <x:si>
    <x:t xml:space="preserve">Izzet Spellementals · Mikebrav · 第3名</x:t>
  </x:si>
  <x:si>
    <x:t xml:space="preserve">Izzet Spellementals · Mikebrav · Rank 3</x:t>
  </x:si>
  <x:si>
    <x:t xml:space="preserve">https://jacelber.github.io/mtgo-data/index.html?format=standard&amp;product=mtgo-top8&amp;week=2026-W33&amp;detail=12851628%3A3&amp;lang=zh</x:t>
  </x:si>
  <x:si>
    <x:t xml:space="preserve">tchuco</x:t>
  </x:si>
  <x:si>
    <x:t xml:space="preserve">deck:4b4573fbf8a568101d7a</x:t>
  </x:si>
  <x:si>
    <x:t xml:space="preserve">Dimir Excruciator · tchuco · 第4名</x:t>
  </x:si>
  <x:si>
    <x:t xml:space="preserve">Dimir Excruciator · tchuco · Rank 4</x:t>
  </x:si>
  <x:si>
    <x:t xml:space="preserve">https://jacelber.github.io/mtgo-data/index.html?format=standard&amp;product=mtgo-top8&amp;week=2026-W33&amp;detail=12851628%3A4&amp;lang=zh</x:t>
  </x:si>
  <x:si>
    <x:t xml:space="preserve">ejk</x:t>
  </x:si>
  <x:si>
    <x:t xml:space="preserve">deck:9005578eec646702aadc</x:t>
  </x:si>
  <x:si>
    <x:t xml:space="preserve">Orzhov Lifegain · ejk · 第5名</x:t>
  </x:si>
  <x:si>
    <x:t xml:space="preserve">Orzhov Lifegain · ejk · Rank 5</x:t>
  </x:si>
  <x:si>
    <x:t xml:space="preserve">https://jacelber.github.io/mtgo-data/index.html?format=standard&amp;product=mtgo-top8&amp;week=2026-W33&amp;detail=12851628%3A5&amp;lang=zh</x:t>
  </x:si>
  <x:si>
    <x:t xml:space="preserve">Arianne</x:t>
  </x:si>
  <x:si>
    <x:t xml:space="preserve">deck:f5157d533c98ce58b263</x:t>
  </x:si>
  <x:si>
    <x:t xml:space="preserve">Mono-Green Landfall · Arianne · 第6名</x:t>
  </x:si>
  <x:si>
    <x:t xml:space="preserve">Mono-Green Landfall · Arianne · Rank 6</x:t>
  </x:si>
  <x:si>
    <x:t xml:space="preserve">https://jacelber.github.io/mtgo-data/index.html?format=standard&amp;product=mtgo-top8&amp;week=2026-W33&amp;detail=12851628%3A6&amp;lang=zh</x:t>
  </x:si>
  <x:si>
    <x:t xml:space="preserve">Selesnya Landfall</x:t>
  </x:si>
  <x:si>
    <x:t xml:space="preserve">fried-liver-attack</x:t>
  </x:si>
  <x:si>
    <x:t xml:space="preserve">deck:8b76fae6e748885f7135</x:t>
  </x:si>
  <x:si>
    <x:t xml:space="preserve">Selesnya Landfall · fried-liver-attack · 第7名</x:t>
  </x:si>
  <x:si>
    <x:t xml:space="preserve">Selesnya Landfall · fried-liver-attack · Rank 7</x:t>
  </x:si>
  <x:si>
    <x:t xml:space="preserve">https://jacelber.github.io/mtgo-data/index.html?format=standard&amp;product=mtgo-top8&amp;week=2026-W33&amp;detail=12851628%3A7&amp;lang=zh</x:t>
  </x:si>
  <x:si>
    <x:t xml:space="preserve">Jeskai Tablet</x:t>
  </x:si>
  <x:si>
    <x:t xml:space="preserve">_VFS_</x:t>
  </x:si>
  <x:si>
    <x:t xml:space="preserve">deck:3e9daa72448ce4e0b276</x:t>
  </x:si>
  <x:si>
    <x:t xml:space="preserve">Jeskai Tablet · _VFS_ · 第8名</x:t>
  </x:si>
  <x:si>
    <x:t xml:space="preserve">Jeskai Tablet · _VFS_ · Rank 8</x:t>
  </x:si>
  <x:si>
    <x:t xml:space="preserve">https://jacelber.github.io/mtgo-data/index.html?format=standard&amp;product=mtgo-top8&amp;week=2026-W33&amp;detail=12851628%3A8&amp;lang=zh</x:t>
  </x:si>
  <x:si>
    <x:t xml:space="preserve">Standard Challenge 32 · 12851641</x:t>
  </x:si>
  <x:si>
    <x:t xml:space="preserve">2026-08-14</x:t>
  </x:si>
  <x:si>
    <x:t xml:space="preserve">claudioh</x:t>
  </x:si>
  <x:si>
    <x:t xml:space="preserve">deck:6552a16bef7fa5293b5d</x:t>
  </x:si>
  <x:si>
    <x:t xml:space="preserve">Dimir Midrange · claudioh · 第1名</x:t>
  </x:si>
  <x:si>
    <x:t xml:space="preserve">Dimir Midrange · claudioh · Rank 1</x:t>
  </x:si>
  <x:si>
    <x:t xml:space="preserve">https://jacelber.github.io/mtgo-data/index.html?format=standard&amp;product=mtgo-top8&amp;week=2026-W33&amp;detail=12851641%3A1&amp;lang=zh</x:t>
  </x:si>
  <x:si>
    <x:t xml:space="preserve">komattaman</x:t>
  </x:si>
  <x:si>
    <x:t xml:space="preserve">deck:08badfa0b66785042d8e</x:t>
  </x:si>
  <x:si>
    <x:t xml:space="preserve">Mardu Discard · komattaman · 第2名</x:t>
  </x:si>
  <x:si>
    <x:t xml:space="preserve">Mardu Discard · komattaman · Rank 2</x:t>
  </x:si>
  <x:si>
    <x:t xml:space="preserve">https://jacelber.github.io/mtgo-data/index.html?format=standard&amp;product=mtgo-top8&amp;week=2026-W33&amp;detail=12851641%3A2&amp;lang=zh</x:t>
  </x:si>
  <x:si>
    <x:t xml:space="preserve">Zonda</x:t>
  </x:si>
  <x:si>
    <x:t xml:space="preserve">deck:4514f615c43d30b7a931</x:t>
  </x:si>
  <x:si>
    <x:t xml:space="preserve">Mardu Discard · Zonda · 第3名</x:t>
  </x:si>
  <x:si>
    <x:t xml:space="preserve">Mardu Discard · Zonda · Rank 3</x:t>
  </x:si>
  <x:si>
    <x:t xml:space="preserve">https://jacelber.github.io/mtgo-data/index.html?format=standard&amp;product=mtgo-top8&amp;week=2026-W33&amp;detail=12851641%3A3&amp;lang=zh</x:t>
  </x:si>
  <x:si>
    <x:t xml:space="preserve">deck:d392e6913459236d2387</x:t>
  </x:si>
  <x:si>
    <x:t xml:space="preserve">https://jacelber.github.io/mtgo-data/index.html?format=standard&amp;product=mtgo-top8&amp;week=2026-W33&amp;detail=12851641%3A4&amp;lang=zh</x:t>
  </x:si>
  <x:si>
    <x:t xml:space="preserve">indianpancake</x:t>
  </x:si>
  <x:si>
    <x:t xml:space="preserve">deck:166be27eed9034c1c407</x:t>
  </x:si>
  <x:si>
    <x:t xml:space="preserve">Mono-Green Landfall · indianpancake · 第5名</x:t>
  </x:si>
  <x:si>
    <x:t xml:space="preserve">Mono-Green Landfall · indianpancake · Rank 5</x:t>
  </x:si>
  <x:si>
    <x:t xml:space="preserve">https://jacelber.github.io/mtgo-data/index.html?format=standard&amp;product=mtgo-top8&amp;week=2026-W33&amp;detail=12851641%3A5&amp;lang=zh</x:t>
  </x:si>
  <x:si>
    <x:t xml:space="preserve">Mono-Red Dragons</x:t>
  </x:si>
  <x:si>
    <x:t xml:space="preserve">SpockVidaLoka</x:t>
  </x:si>
  <x:si>
    <x:t xml:space="preserve">deck:ac65a80127ccaea66f2c</x:t>
  </x:si>
  <x:si>
    <x:t xml:space="preserve">Mono-Red Dragons · SpockVidaLoka · 第6名</x:t>
  </x:si>
  <x:si>
    <x:t xml:space="preserve">Mono-Red Dragons · SpockVidaLoka · Rank 6</x:t>
  </x:si>
  <x:si>
    <x:t xml:space="preserve">https://jacelber.github.io/mtgo-data/index.html?format=standard&amp;product=mtgo-top8&amp;week=2026-W33&amp;detail=12851641%3A6&amp;lang=zh</x:t>
  </x:si>
  <x:si>
    <x:t xml:space="preserve">moreno13</x:t>
  </x:si>
  <x:si>
    <x:t xml:space="preserve">deck:9c674f14afe5292ceae2</x:t>
  </x:si>
  <x:si>
    <x:t xml:space="preserve">Mono-Green Landfall · moreno13 · 第7名</x:t>
  </x:si>
  <x:si>
    <x:t xml:space="preserve">Mono-Green Landfall · moreno13 · Rank 7</x:t>
  </x:si>
  <x:si>
    <x:t xml:space="preserve">https://jacelber.github.io/mtgo-data/index.html?format=standard&amp;product=mtgo-top8&amp;week=2026-W33&amp;detail=12851641%3A7&amp;lang=zh</x:t>
  </x:si>
  <x:si>
    <x:t xml:space="preserve">parasisnotcool</x:t>
  </x:si>
  <x:si>
    <x:t xml:space="preserve">deck:6d4c9bef31b5d6e21c7c</x:t>
  </x:si>
  <x:si>
    <x:t xml:space="preserve">Jeskai Lessons · parasisnotcool · 第8名</x:t>
  </x:si>
  <x:si>
    <x:t xml:space="preserve">Jeskai Lessons · parasisnotcool · Rank 8</x:t>
  </x:si>
  <x:si>
    <x:t xml:space="preserve">https://jacelber.github.io/mtgo-data/index.html?format=standard&amp;product=mtgo-top8&amp;week=2026-W33&amp;detail=12851641%3A8&amp;lang=zh</x:t>
  </x:si>
  <x:si>
    <x:t xml:space="preserve">Standard Challenge 32 · 12851651</x:t>
  </x:si>
  <x:si>
    <x:t xml:space="preserve">Traft</x:t>
  </x:si>
  <x:si>
    <x:t xml:space="preserve">deck:085fbae05701d25afeda</x:t>
  </x:si>
  <x:si>
    <x:t xml:space="preserve">Orzhov Lifegain · Traft · 第1名</x:t>
  </x:si>
  <x:si>
    <x:t xml:space="preserve">Orzhov Lifegain · Traft · Rank 1</x:t>
  </x:si>
  <x:si>
    <x:t xml:space="preserve">https://jacelber.github.io/mtgo-data/index.html?format=standard&amp;product=mtgo-top8&amp;week=2026-W33&amp;detail=12851651%3A1&amp;lang=zh</x:t>
  </x:si>
  <x:si>
    <x:t xml:space="preserve">HyPPeR</x:t>
  </x:si>
  <x:si>
    <x:t xml:space="preserve">deck:a72b6db97539175abbac</x:t>
  </x:si>
  <x:si>
    <x:t xml:space="preserve">Mono-Green Landfall · HyPPeR · 第2名</x:t>
  </x:si>
  <x:si>
    <x:t xml:space="preserve">Mono-Green Landfall · HyPPeR · Rank 2</x:t>
  </x:si>
  <x:si>
    <x:t xml:space="preserve">https://jacelber.github.io/mtgo-data/index.html?format=standard&amp;product=mtgo-top8&amp;week=2026-W33&amp;detail=12851651%3A2&amp;lang=zh</x:t>
  </x:si>
  <x:si>
    <x:t xml:space="preserve">Boros Dragons</x:t>
  </x:si>
  <x:si>
    <x:t xml:space="preserve">IronBeagle</x:t>
  </x:si>
  <x:si>
    <x:t xml:space="preserve">deck:a1ee1d77d2a2ebb3ff9d</x:t>
  </x:si>
  <x:si>
    <x:t xml:space="preserve">Boros Dragons · IronBeagle · 第3名</x:t>
  </x:si>
  <x:si>
    <x:t xml:space="preserve">Boros Dragons · IronBeagle · Rank 3</x:t>
  </x:si>
  <x:si>
    <x:t xml:space="preserve">https://jacelber.github.io/mtgo-data/index.html?format=standard&amp;product=mtgo-top8&amp;week=2026-W33&amp;detail=12851651%3A3&amp;lang=zh</x:t>
  </x:si>
  <x:si>
    <x:t xml:space="preserve">Yoshi_</x:t>
  </x:si>
  <x:si>
    <x:t xml:space="preserve">deck:7d27a0cccc3191fc1670</x:t>
  </x:si>
  <x:si>
    <x:t xml:space="preserve">Mardu Discard · Yoshi_ · 第4名</x:t>
  </x:si>
  <x:si>
    <x:t xml:space="preserve">Mardu Discard · Yoshi_ · Rank 4</x:t>
  </x:si>
  <x:si>
    <x:t xml:space="preserve">https://jacelber.github.io/mtgo-data/index.html?format=standard&amp;product=mtgo-top8&amp;week=2026-W33&amp;detail=12851651%3A4&amp;lang=zh</x:t>
  </x:si>
  <x:si>
    <x:t xml:space="preserve">deck:96749dc528008eb7a201</x:t>
  </x:si>
  <x:si>
    <x:t xml:space="preserve">Mono-Red Dragons · SpockVidaLoka · 第5名</x:t>
  </x:si>
  <x:si>
    <x:t xml:space="preserve">Mono-Red Dragons · SpockVidaLoka · Rank 5</x:t>
  </x:si>
  <x:si>
    <x:t xml:space="preserve">https://jacelber.github.io/mtgo-data/index.html?format=standard&amp;product=mtgo-top8&amp;week=2026-W33&amp;detail=12851651%3A5&amp;lang=zh</x:t>
  </x:si>
  <x:si>
    <x:t xml:space="preserve">Kritik</x:t>
  </x:si>
  <x:si>
    <x:t xml:space="preserve">deck:3b5eb13e6a78d7d62632</x:t>
  </x:si>
  <x:si>
    <x:t xml:space="preserve">4-Color Tablet · Kritik · 第6名</x:t>
  </x:si>
  <x:si>
    <x:t xml:space="preserve">4-Color Tablet · Kritik · Rank 6</x:t>
  </x:si>
  <x:si>
    <x:t xml:space="preserve">https://jacelber.github.io/mtgo-data/index.html?format=standard&amp;product=mtgo-top8&amp;week=2026-W33&amp;detail=12851651%3A6&amp;lang=zh</x:t>
  </x:si>
  <x:si>
    <x:t xml:space="preserve">Azorius Oculus</x:t>
  </x:si>
  <x:si>
    <x:t xml:space="preserve">Thief_Of_Crowns</x:t>
  </x:si>
  <x:si>
    <x:t xml:space="preserve">deck:492b0e40d4a2f0bdc168</x:t>
  </x:si>
  <x:si>
    <x:t xml:space="preserve">Azorius Oculus · Thief_Of_Crowns · 第7名</x:t>
  </x:si>
  <x:si>
    <x:t xml:space="preserve">Azorius Oculus · Thief_Of_Crowns · Rank 7</x:t>
  </x:si>
  <x:si>
    <x:t xml:space="preserve">https://jacelber.github.io/mtgo-data/index.html?format=standard&amp;product=mtgo-top8&amp;week=2026-W33&amp;detail=12851651%3A7&amp;lang=zh</x:t>
  </x:si>
  <x:si>
    <x:t xml:space="preserve">deck:974c63d6e89266ef8de8</x:t>
  </x:si>
  <x:si>
    <x:t xml:space="preserve">Dimir Midrange · hermanomlg · 第8名</x:t>
  </x:si>
  <x:si>
    <x:t xml:space="preserve">Dimir Midrange · hermanomlg · Rank 8</x:t>
  </x:si>
  <x:si>
    <x:t xml:space="preserve">https://jacelber.github.io/mtgo-data/index.html?format=standard&amp;product=mtgo-top8&amp;week=2026-W33&amp;detail=12851651%3A8&amp;lang=zh</x:t>
  </x:si>
  <x:si>
    <x:t xml:space="preserve">Standard Challenge 32 · 12851659</x:t>
  </x:si>
  <x:si>
    <x:t xml:space="preserve">2026-08-15</x:t>
  </x:si>
  <x:si>
    <x:t xml:space="preserve">deck:26176272cbf5f8f8eb5c</x:t>
  </x:si>
  <x:si>
    <x:t xml:space="preserve">Mardu Discard · Zonda · 第1名</x:t>
  </x:si>
  <x:si>
    <x:t xml:space="preserve">Mardu Discard · Zonda · Rank 1</x:t>
  </x:si>
  <x:si>
    <x:t xml:space="preserve">https://jacelber.github.io/mtgo-data/index.html?format=standard&amp;product=mtgo-top8&amp;week=2026-W33&amp;detail=12851659%3A1&amp;lang=zh</x:t>
  </x:si>
  <x:si>
    <x:t xml:space="preserve">deck:376f1ea33379e5b9a15c</x:t>
  </x:si>
  <x:si>
    <x:t xml:space="preserve">Dimir Excruciator · VitorCarvalho01 · 第2名</x:t>
  </x:si>
  <x:si>
    <x:t xml:space="preserve">Dimir Excruciator · VitorCarvalho01 · Rank 2</x:t>
  </x:si>
  <x:si>
    <x:t xml:space="preserve">https://jacelber.github.io/mtgo-data/index.html?format=standard&amp;product=mtgo-top8&amp;week=2026-W33&amp;detail=12851659%3A2&amp;lang=zh</x:t>
  </x:si>
  <x:si>
    <x:t xml:space="preserve">Grixis Tablet</x:t>
  </x:si>
  <x:si>
    <x:t xml:space="preserve">auzzie51</x:t>
  </x:si>
  <x:si>
    <x:t xml:space="preserve">deck:96b30d5e076425e95de6</x:t>
  </x:si>
  <x:si>
    <x:t xml:space="preserve">Grixis Tablet · auzzie51 · 第3名</x:t>
  </x:si>
  <x:si>
    <x:t xml:space="preserve">Grixis Tablet · auzzie51 · Rank 3</x:t>
  </x:si>
  <x:si>
    <x:t xml:space="preserve">https://jacelber.github.io/mtgo-data/index.html?format=standard&amp;product=mtgo-top8&amp;week=2026-W33&amp;detail=12851659%3A3&amp;lang=zh</x:t>
  </x:si>
  <x:si>
    <x:t xml:space="preserve">eggybenny</x:t>
  </x:si>
  <x:si>
    <x:t xml:space="preserve">deck:d4b621222fd2fbe08e13</x:t>
  </x:si>
  <x:si>
    <x:t xml:space="preserve">Dimir Midrange · eggybenny · 第4名</x:t>
  </x:si>
  <x:si>
    <x:t xml:space="preserve">Dimir Midrange · eggybenny · Rank 4</x:t>
  </x:si>
  <x:si>
    <x:t xml:space="preserve">https://jacelber.github.io/mtgo-data/index.html?format=standard&amp;product=mtgo-top8&amp;week=2026-W33&amp;detail=12851659%3A4&amp;lang=zh</x:t>
  </x:si>
  <x:si>
    <x:t xml:space="preserve">unagieel</x:t>
  </x:si>
  <x:si>
    <x:t xml:space="preserve">deck:cf1060bd38d38c8f161f</x:t>
  </x:si>
  <x:si>
    <x:t xml:space="preserve">Dimir Midrange · unagieel · 第5名</x:t>
  </x:si>
  <x:si>
    <x:t xml:space="preserve">Dimir Midrange · unagieel · Rank 5</x:t>
  </x:si>
  <x:si>
    <x:t xml:space="preserve">https://jacelber.github.io/mtgo-data/index.html?format=standard&amp;product=mtgo-top8&amp;week=2026-W33&amp;detail=12851659%3A5&amp;lang=zh</x:t>
  </x:si>
  <x:si>
    <x:t xml:space="preserve">TVAmaral</x:t>
  </x:si>
  <x:si>
    <x:t xml:space="preserve">deck:04bb4b10230d5565f6e2</x:t>
  </x:si>
  <x:si>
    <x:t xml:space="preserve">Mardu Discard · TVAmaral · 第6名</x:t>
  </x:si>
  <x:si>
    <x:t xml:space="preserve">Mardu Discard · TVAmaral · Rank 6</x:t>
  </x:si>
  <x:si>
    <x:t xml:space="preserve">https://jacelber.github.io/mtgo-data/index.html?format=standard&amp;product=mtgo-top8&amp;week=2026-W33&amp;detail=12851659%3A6&amp;lang=zh</x:t>
  </x:si>
  <x:si>
    <x:t xml:space="preserve">Beicodegeia</x:t>
  </x:si>
  <x:si>
    <x:t xml:space="preserve">deck:6a668531765e8986d034</x:t>
  </x:si>
  <x:si>
    <x:t xml:space="preserve">Dimir Midrange · Beicodegeia · 第7名</x:t>
  </x:si>
  <x:si>
    <x:t xml:space="preserve">Dimir Midrange · Beicodegeia · Rank 7</x:t>
  </x:si>
  <x:si>
    <x:t xml:space="preserve">https://jacelber.github.io/mtgo-data/index.html?format=standard&amp;product=mtgo-top8&amp;week=2026-W33&amp;detail=12851659%3A7&amp;lang=zh</x:t>
  </x:si>
  <x:si>
    <x:t xml:space="preserve">LucasG1ggs</x:t>
  </x:si>
  <x:si>
    <x:t xml:space="preserve">deck:d2404afcc601a6e0715d</x:t>
  </x:si>
  <x:si>
    <x:t xml:space="preserve">Mono-Green Landfall · LucasG1ggs · 第8名</x:t>
  </x:si>
  <x:si>
    <x:t xml:space="preserve">Mono-Green Landfall · LucasG1ggs · Rank 8</x:t>
  </x:si>
  <x:si>
    <x:t xml:space="preserve">https://jacelber.github.io/mtgo-data/index.html?format=standard&amp;product=mtgo-top8&amp;week=2026-W33&amp;detail=12851659%3A8&amp;lang=zh</x:t>
  </x:si>
  <x:si>
    <x:t xml:space="preserve">Standard Challenge 32 · 12851664</x:t>
  </x:si>
  <x:si>
    <x:t xml:space="preserve">J_tekt</x:t>
  </x:si>
  <x:si>
    <x:t xml:space="preserve">deck:0ef7de8666929e404c95</x:t>
  </x:si>
  <x:si>
    <x:t xml:space="preserve">Jeskai Lessons · J_tekt · 第1名</x:t>
  </x:si>
  <x:si>
    <x:t xml:space="preserve">Jeskai Lessons · J_tekt · Rank 1</x:t>
  </x:si>
  <x:si>
    <x:t xml:space="preserve">https://jacelber.github.io/mtgo-data/index.html?format=standard&amp;product=mtgo-top8&amp;week=2026-W33&amp;detail=12851664%3A1&amp;lang=zh</x:t>
  </x:si>
  <x:si>
    <x:t xml:space="preserve">Venom01</x:t>
  </x:si>
  <x:si>
    <x:t xml:space="preserve">deck:b734085f85b9bffc9981</x:t>
  </x:si>
  <x:si>
    <x:t xml:space="preserve">4-Color Tablet · Venom01 · 第2名</x:t>
  </x:si>
  <x:si>
    <x:t xml:space="preserve">4-Color Tablet · Venom01 · Rank 2</x:t>
  </x:si>
  <x:si>
    <x:t xml:space="preserve">https://jacelber.github.io/mtgo-data/index.html?format=standard&amp;product=mtgo-top8&amp;week=2026-W33&amp;detail=12851664%3A2&amp;lang=zh</x:t>
  </x:si>
  <x:si>
    <x:t xml:space="preserve">Izzet Aggro</x:t>
  </x:si>
  <x:si>
    <x:t xml:space="preserve">deleon91</x:t>
  </x:si>
  <x:si>
    <x:t xml:space="preserve">deck:75c0fa6b71a36e854125</x:t>
  </x:si>
  <x:si>
    <x:t xml:space="preserve">Izzet Aggro · deleon91 · 第3名</x:t>
  </x:si>
  <x:si>
    <x:t xml:space="preserve">Izzet Aggro · deleon91 · Rank 3</x:t>
  </x:si>
  <x:si>
    <x:t xml:space="preserve">https://jacelber.github.io/mtgo-data/index.html?format=standard&amp;product=mtgo-top8&amp;week=2026-W33&amp;detail=12851664%3A3&amp;lang=zh</x:t>
  </x:si>
  <x:si>
    <x:t xml:space="preserve">fazparte</x:t>
  </x:si>
  <x:si>
    <x:t xml:space="preserve">deck:f74090139d81d8cfe4cc</x:t>
  </x:si>
  <x:si>
    <x:t xml:space="preserve">Boros Dragons · fazparte · 第4名</x:t>
  </x:si>
  <x:si>
    <x:t xml:space="preserve">Boros Dragons · fazparte · Rank 4</x:t>
  </x:si>
  <x:si>
    <x:t xml:space="preserve">https://jacelber.github.io/mtgo-data/index.html?format=standard&amp;product=mtgo-top8&amp;week=2026-W33&amp;detail=12851664%3A4&amp;lang=zh</x:t>
  </x:si>
  <x:si>
    <x:t xml:space="preserve">deck:1a708c6057f83ec6b4ef</x:t>
  </x:si>
  <x:si>
    <x:t xml:space="preserve">Boros Dragons · IronBeagle · 第5名</x:t>
  </x:si>
  <x:si>
    <x:t xml:space="preserve">Boros Dragons · IronBeagle · Rank 5</x:t>
  </x:si>
  <x:si>
    <x:t xml:space="preserve">https://jacelber.github.io/mtgo-data/index.html?format=standard&amp;product=mtgo-top8&amp;week=2026-W33&amp;detail=12851664%3A5&amp;lang=zh</x:t>
  </x:si>
  <x:si>
    <x:t xml:space="preserve">Strongmind</x:t>
  </x:si>
  <x:si>
    <x:t xml:space="preserve">deck:08fbac416039f1af12e7</x:t>
  </x:si>
  <x:si>
    <x:t xml:space="preserve">Dimir Midrange · Strongmind · 第6名</x:t>
  </x:si>
  <x:si>
    <x:t xml:space="preserve">Dimir Midrange · Strongmind · Rank 6</x:t>
  </x:si>
  <x:si>
    <x:t xml:space="preserve">https://jacelber.github.io/mtgo-data/index.html?format=standard&amp;product=mtgo-top8&amp;week=2026-W33&amp;detail=12851664%3A6&amp;lang=zh</x:t>
  </x:si>
  <x:si>
    <x:t xml:space="preserve">manjyui</x:t>
  </x:si>
  <x:si>
    <x:t xml:space="preserve">deck:1d0bc9f691a0837ad0c3</x:t>
  </x:si>
  <x:si>
    <x:t xml:space="preserve">Dimir Midrange · manjyui · 第7名</x:t>
  </x:si>
  <x:si>
    <x:t xml:space="preserve">Dimir Midrange · manjyui · Rank 7</x:t>
  </x:si>
  <x:si>
    <x:t xml:space="preserve">https://jacelber.github.io/mtgo-data/index.html?format=standard&amp;product=mtgo-top8&amp;week=2026-W33&amp;detail=12851664%3A7&amp;lang=zh</x:t>
  </x:si>
  <x:si>
    <x:t xml:space="preserve">Denisevich</x:t>
  </x:si>
  <x:si>
    <x:t xml:space="preserve">deck:81a053b3c4268eed0ba1</x:t>
  </x:si>
  <x:si>
    <x:t xml:space="preserve">Mono-Green Landfall · Denisevich · 第8名</x:t>
  </x:si>
  <x:si>
    <x:t xml:space="preserve">Mono-Green Landfall · Denisevich · Rank 8</x:t>
  </x:si>
  <x:si>
    <x:t xml:space="preserve">https://jacelber.github.io/mtgo-data/index.html?format=standard&amp;product=mtgo-top8&amp;week=2026-W33&amp;detail=12851664%3A8&amp;lang=zh</x:t>
  </x:si>
  <x:si>
    <x:t xml:space="preserve">Standard Challenge 32 · 12851684</x:t>
  </x:si>
  <x:si>
    <x:t xml:space="preserve">2026-08-16</x:t>
  </x:si>
  <x:si>
    <x:t xml:space="preserve">Scorpion100</x:t>
  </x:si>
  <x:si>
    <x:t xml:space="preserve">deck:3b20a57979ef845780d2</x:t>
  </x:si>
  <x:si>
    <x:t xml:space="preserve">Mono-Green Landfall · Scorpion100 · 第1名</x:t>
  </x:si>
  <x:si>
    <x:t xml:space="preserve">Mono-Green Landfall · Scorpion100 · Rank 1</x:t>
  </x:si>
  <x:si>
    <x:t xml:space="preserve">https://jacelber.github.io/mtgo-data/index.html?format=standard&amp;product=mtgo-top8&amp;week=2026-W33&amp;detail=12851684%3A1&amp;lang=zh</x:t>
  </x:si>
  <x:si>
    <x:t xml:space="preserve">jackie42005</x:t>
  </x:si>
  <x:si>
    <x:t xml:space="preserve">deck:c88042b7ddc49328a846</x:t>
  </x:si>
  <x:si>
    <x:t xml:space="preserve">Mono-Green Landfall · jackie42005 · 第2名</x:t>
  </x:si>
  <x:si>
    <x:t xml:space="preserve">Mono-Green Landfall · jackie42005 · Rank 2</x:t>
  </x:si>
  <x:si>
    <x:t xml:space="preserve">https://jacelber.github.io/mtgo-data/index.html?format=standard&amp;product=mtgo-top8&amp;week=2026-W33&amp;detail=12851684%3A2&amp;lang=zh</x:t>
  </x:si>
  <x:si>
    <x:t xml:space="preserve">UnholyMarmotPie</x:t>
  </x:si>
  <x:si>
    <x:t xml:space="preserve">deck:11a17bee4da212b65cab</x:t>
  </x:si>
  <x:si>
    <x:t xml:space="preserve">Mardu Discard · UnholyMarmotPie · 第3名</x:t>
  </x:si>
  <x:si>
    <x:t xml:space="preserve">Mardu Discard · UnholyMarmotPie · Rank 3</x:t>
  </x:si>
  <x:si>
    <x:t xml:space="preserve">https://jacelber.github.io/mtgo-data/index.html?format=standard&amp;product=mtgo-top8&amp;week=2026-W33&amp;detail=12851684%3A3&amp;lang=zh</x:t>
  </x:si>
  <x:si>
    <x:t xml:space="preserve">YourDoom25</x:t>
  </x:si>
  <x:si>
    <x:t xml:space="preserve">deck:e9ef5d9cde0ef704214b</x:t>
  </x:si>
  <x:si>
    <x:t xml:space="preserve">Orzhov Lifegain · YourDoom25 · 第4名</x:t>
  </x:si>
  <x:si>
    <x:t xml:space="preserve">Orzhov Lifegain · YourDoom25 · Rank 4</x:t>
  </x:si>
  <x:si>
    <x:t xml:space="preserve">https://jacelber.github.io/mtgo-data/index.html?format=standard&amp;product=mtgo-top8&amp;week=2026-W33&amp;detail=12851684%3A4&amp;lang=zh</x:t>
  </x:si>
  <x:si>
    <x:t xml:space="preserve">Ramp Elementals</x:t>
  </x:si>
  <x:si>
    <x:t xml:space="preserve">RNicoF</x:t>
  </x:si>
  <x:si>
    <x:t xml:space="preserve">deck:d504150cab03e7c7bf42</x:t>
  </x:si>
  <x:si>
    <x:t xml:space="preserve">Ramp Elementals · RNicoF · 第5名</x:t>
  </x:si>
  <x:si>
    <x:t xml:space="preserve">Ramp Elementals · RNicoF · Rank 5</x:t>
  </x:si>
  <x:si>
    <x:t xml:space="preserve">https://jacelber.github.io/mtgo-data/index.html?format=standard&amp;product=mtgo-top8&amp;week=2026-W33&amp;detail=12851684%3A5&amp;lang=zh</x:t>
  </x:si>
  <x:si>
    <x:t xml:space="preserve">Jeskai Momo</x:t>
  </x:si>
  <x:si>
    <x:t xml:space="preserve">olbeda</x:t>
  </x:si>
  <x:si>
    <x:t xml:space="preserve">deck:1eedf5459507770b0502</x:t>
  </x:si>
  <x:si>
    <x:t xml:space="preserve">Jeskai Momo · olbeda · 第6名</x:t>
  </x:si>
  <x:si>
    <x:t xml:space="preserve">Jeskai Momo · olbeda · Rank 6</x:t>
  </x:si>
  <x:si>
    <x:t xml:space="preserve">https://jacelber.github.io/mtgo-data/index.html?format=standard&amp;product=mtgo-top8&amp;week=2026-W33&amp;detail=12851684%3A6&amp;lang=zh</x:t>
  </x:si>
  <x:si>
    <x:t xml:space="preserve">ObiJuanDaHomie</x:t>
  </x:si>
  <x:si>
    <x:t xml:space="preserve">deck:a30c560e4b6381bfc36d</x:t>
  </x:si>
  <x:si>
    <x:t xml:space="preserve">Boros Dragons · ObiJuanDaHomie · 第7名</x:t>
  </x:si>
  <x:si>
    <x:t xml:space="preserve">Boros Dragons · ObiJuanDaHomie · Rank 7</x:t>
  </x:si>
  <x:si>
    <x:t xml:space="preserve">https://jacelber.github.io/mtgo-data/index.html?format=standard&amp;product=mtgo-top8&amp;week=2026-W33&amp;detail=12851684%3A7&amp;lang=zh</x:t>
  </x:si>
  <x:si>
    <x:t xml:space="preserve">deck:910c9c942b32d1b39c46</x:t>
  </x:si>
  <x:si>
    <x:t xml:space="preserve">Dimir Midrange · claudioh · 第8名</x:t>
  </x:si>
  <x:si>
    <x:t xml:space="preserve">Dimir Midrange · claudioh · Rank 8</x:t>
  </x:si>
  <x:si>
    <x:t xml:space="preserve">https://jacelber.github.io/mtgo-data/index.html?format=standard&amp;product=mtgo-top8&amp;week=2026-W33&amp;detail=12851684%3A8&amp;lang=zh</x:t>
  </x:si>
  <x:si>
    <x:t xml:space="preserve">Modern Challenge 64 · 12851118</x:t>
  </x:si>
  <x:si>
    <x:t xml:space="preserve">Esper Blink</x:t>
  </x:si>
  <x:si>
    <x:t xml:space="preserve">Martin_Dominguez</x:t>
  </x:si>
  <x:si>
    <x:t xml:space="preserve">deck:96ecc45b881d47a331a4</x:t>
  </x:si>
  <x:si>
    <x:t xml:space="preserve">Esper Blink · Martin_Dominguez · 第1名</x:t>
  </x:si>
  <x:si>
    <x:t xml:space="preserve">Esper Blink · Martin_Dominguez · Rank 1</x:t>
  </x:si>
  <x:si>
    <x:t xml:space="preserve">https://jacelber.github.io/mtgo-data/index.html?format=modern&amp;product=mtgo-top8&amp;week=2026-W33&amp;detail=12851118%3A1&amp;lang=zh</x:t>
  </x:si>
  <x:si>
    <x:t xml:space="preserve">Dimir Tempo</x:t>
  </x:si>
  <x:si>
    <x:t xml:space="preserve">deck:7665f30cf9f9c794c61c</x:t>
  </x:si>
  <x:si>
    <x:t xml:space="preserve">Dimir Tempo · Venom01 · 第2名</x:t>
  </x:si>
  <x:si>
    <x:t xml:space="preserve">Dimir Tempo · Venom01 · Rank 2</x:t>
  </x:si>
  <x:si>
    <x:t xml:space="preserve">https://jacelber.github.io/mtgo-data/index.html?format=modern&amp;product=mtgo-top8&amp;week=2026-W33&amp;detail=12851118%3A2&amp;lang=zh</x:t>
  </x:si>
  <x:si>
    <x:t xml:space="preserve">oinkmage22</x:t>
  </x:si>
  <x:si>
    <x:t xml:space="preserve">deck:c4a26abe90ff9fdf65a1</x:t>
  </x:si>
  <x:si>
    <x:t xml:space="preserve">Dimir Tempo · oinkmage22 · 第3名</x:t>
  </x:si>
  <x:si>
    <x:t xml:space="preserve">Dimir Tempo · oinkmage22 · Rank 3</x:t>
  </x:si>
  <x:si>
    <x:t xml:space="preserve">https://jacelber.github.io/mtgo-data/index.html?format=modern&amp;product=mtgo-top8&amp;week=2026-W33&amp;detail=12851118%3A3&amp;lang=zh</x:t>
  </x:si>
  <x:si>
    <x:t xml:space="preserve">Izzet Steel-Cutter</x:t>
  </x:si>
  <x:si>
    <x:t xml:space="preserve">toothymtg</x:t>
  </x:si>
  <x:si>
    <x:t xml:space="preserve">deck:6250140fc18e80b1781f</x:t>
  </x:si>
  <x:si>
    <x:t xml:space="preserve">Izzet Steel-Cutter · toothymtg · 第4名</x:t>
  </x:si>
  <x:si>
    <x:t xml:space="preserve">Izzet Steel-Cutter · toothymtg · Rank 4</x:t>
  </x:si>
  <x:si>
    <x:t xml:space="preserve">https://jacelber.github.io/mtgo-data/index.html?format=modern&amp;product=mtgo-top8&amp;week=2026-W33&amp;detail=12851118%3A4&amp;lang=zh</x:t>
  </x:si>
  <x:si>
    <x:t xml:space="preserve">Eldrazi Ramp Chant</x:t>
  </x:si>
  <x:si>
    <x:t xml:space="preserve">duke12</x:t>
  </x:si>
  <x:si>
    <x:t xml:space="preserve">deck:e008b02bb490aab90358</x:t>
  </x:si>
  <x:si>
    <x:t xml:space="preserve">Eldrazi Ramp Chant · duke12 · 第5名</x:t>
  </x:si>
  <x:si>
    <x:t xml:space="preserve">Eldrazi Ramp Chant · duke12 · Rank 5</x:t>
  </x:si>
  <x:si>
    <x:t xml:space="preserve">https://jacelber.github.io/mtgo-data/index.html?format=modern&amp;product=mtgo-top8&amp;week=2026-W33&amp;detail=12851118%3A5&amp;lang=zh</x:t>
  </x:si>
  <x:si>
    <x:t xml:space="preserve">Dimir Mill</x:t>
  </x:si>
  <x:si>
    <x:t xml:space="preserve">deck:456909d27c01933cdeca</x:t>
  </x:si>
  <x:si>
    <x:t xml:space="preserve">Dimir Mill · auzzie51 · 第6名</x:t>
  </x:si>
  <x:si>
    <x:t xml:space="preserve">Dimir Mill · auzzie51 · Rank 6</x:t>
  </x:si>
  <x:si>
    <x:t xml:space="preserve">https://jacelber.github.io/mtgo-data/index.html?format=modern&amp;product=mtgo-top8&amp;week=2026-W33&amp;detail=12851118%3A6&amp;lang=zh</x:t>
  </x:si>
  <x:si>
    <x:t xml:space="preserve">Domain Zoo</x:t>
  </x:si>
  <x:si>
    <x:t xml:space="preserve">felider</x:t>
  </x:si>
  <x:si>
    <x:t xml:space="preserve">deck:92b420b9120c0232c03b</x:t>
  </x:si>
  <x:si>
    <x:t xml:space="preserve">Domain Zoo · felider · 第7名</x:t>
  </x:si>
  <x:si>
    <x:t xml:space="preserve">Domain Zoo · felider · Rank 7</x:t>
  </x:si>
  <x:si>
    <x:t xml:space="preserve">https://jacelber.github.io/mtgo-data/index.html?format=modern&amp;product=mtgo-top8&amp;week=2026-W33&amp;detail=12851118%3A7&amp;lang=zh</x:t>
  </x:si>
  <x:si>
    <x:t xml:space="preserve">Boros Energy</x:t>
  </x:si>
  <x:si>
    <x:t xml:space="preserve">fuya</x:t>
  </x:si>
  <x:si>
    <x:t xml:space="preserve">deck:5f642903497d6a9abc49</x:t>
  </x:si>
  <x:si>
    <x:t xml:space="preserve">Boros Energy · fuya · 第8名</x:t>
  </x:si>
  <x:si>
    <x:t xml:space="preserve">Boros Energy · fuya · Rank 8</x:t>
  </x:si>
  <x:si>
    <x:t xml:space="preserve">https://jacelber.github.io/mtgo-data/index.html?format=modern&amp;product=mtgo-top8&amp;week=2026-W33&amp;detail=12851118%3A8&amp;lang=zh</x:t>
  </x:si>
  <x:si>
    <x:t xml:space="preserve">Modern Challenge 96 · 12851122</x:t>
  </x:si>
  <x:si>
    <x:t xml:space="preserve">Prowess</x:t>
  </x:si>
  <x:si>
    <x:t xml:space="preserve">Sven745</x:t>
  </x:si>
  <x:si>
    <x:t xml:space="preserve">deck:56fcc2b60041824b88eb</x:t>
  </x:si>
  <x:si>
    <x:t xml:space="preserve">Prowess · Sven745 · 第1名</x:t>
  </x:si>
  <x:si>
    <x:t xml:space="preserve">Prowess · Sven745 · Rank 1</x:t>
  </x:si>
  <x:si>
    <x:t xml:space="preserve">https://jacelber.github.io/mtgo-data/index.html?format=modern&amp;product=mtgo-top8&amp;week=2026-W33&amp;detail=12851122%3A1&amp;lang=zh</x:t>
  </x:si>
  <x:si>
    <x:t xml:space="preserve">Broodscale Combo</x:t>
  </x:si>
  <x:si>
    <x:t xml:space="preserve">ziofrancone</x:t>
  </x:si>
  <x:si>
    <x:t xml:space="preserve">deck:d326585ffeafdc46a740</x:t>
  </x:si>
  <x:si>
    <x:t xml:space="preserve">Broodscale Combo · ziofrancone · 第2名</x:t>
  </x:si>
  <x:si>
    <x:t xml:space="preserve">Broodscale Combo · ziofrancone · Rank 2</x:t>
  </x:si>
  <x:si>
    <x:t xml:space="preserve">https://jacelber.github.io/mtgo-data/index.html?format=modern&amp;product=mtgo-top8&amp;week=2026-W33&amp;detail=12851122%3A2&amp;lang=zh</x:t>
  </x:si>
  <x:si>
    <x:t xml:space="preserve">RespectTheCat</x:t>
  </x:si>
  <x:si>
    <x:t xml:space="preserve">deck:ab7d816a180a11906390</x:t>
  </x:si>
  <x:si>
    <x:t xml:space="preserve">Esper Blink · RespectTheCat · 第3名</x:t>
  </x:si>
  <x:si>
    <x:t xml:space="preserve">Esper Blink · RespectTheCat · Rank 3</x:t>
  </x:si>
  <x:si>
    <x:t xml:space="preserve">https://jacelber.github.io/mtgo-data/index.html?format=modern&amp;product=mtgo-top8&amp;week=2026-W33&amp;detail=12851122%3A3&amp;lang=zh</x:t>
  </x:si>
  <x:si>
    <x:t xml:space="preserve">Affinity</x:t>
  </x:si>
  <x:si>
    <x:t xml:space="preserve">solaec0501</x:t>
  </x:si>
  <x:si>
    <x:t xml:space="preserve">deck:1bbaa408e9d21a665587</x:t>
  </x:si>
  <x:si>
    <x:t xml:space="preserve">Affinity · solaec0501 · 第4名</x:t>
  </x:si>
  <x:si>
    <x:t xml:space="preserve">Affinity · solaec0501 · Rank 4</x:t>
  </x:si>
  <x:si>
    <x:t xml:space="preserve">https://jacelber.github.io/mtgo-data/index.html?format=modern&amp;product=mtgo-top8&amp;week=2026-W33&amp;detail=12851122%3A4&amp;lang=zh</x:t>
  </x:si>
  <x:si>
    <x:t xml:space="preserve">Ruby Storm</x:t>
  </x:si>
  <x:si>
    <x:t xml:space="preserve">_bwonsamdi_</x:t>
  </x:si>
  <x:si>
    <x:t xml:space="preserve">deck:1985fbc1588a1bc3d789</x:t>
  </x:si>
  <x:si>
    <x:t xml:space="preserve">Ruby Storm · _bwonsamdi_ · 第5名</x:t>
  </x:si>
  <x:si>
    <x:t xml:space="preserve">Ruby Storm · _bwonsamdi_ · Rank 5</x:t>
  </x:si>
  <x:si>
    <x:t xml:space="preserve">https://jacelber.github.io/mtgo-data/index.html?format=modern&amp;product=mtgo-top8&amp;week=2026-W33&amp;detail=12851122%3A5&amp;lang=zh</x:t>
  </x:si>
  <x:si>
    <x:t xml:space="preserve">RCMerriam</x:t>
  </x:si>
  <x:si>
    <x:t xml:space="preserve">deck:ed60abe2bdb83e30dca1</x:t>
  </x:si>
  <x:si>
    <x:t xml:space="preserve">Broodscale Combo · RCMerriam · 第6名</x:t>
  </x:si>
  <x:si>
    <x:t xml:space="preserve">Broodscale Combo · RCMerriam · Rank 6</x:t>
  </x:si>
  <x:si>
    <x:t xml:space="preserve">https://jacelber.github.io/mtgo-data/index.html?format=modern&amp;product=mtgo-top8&amp;week=2026-W33&amp;detail=12851122%3A6&amp;lang=zh</x:t>
  </x:si>
  <x:si>
    <x:t xml:space="preserve">Mono-Blue Belcher</x:t>
  </x:si>
  <x:si>
    <x:t xml:space="preserve">JustAnotherGuy83</x:t>
  </x:si>
  <x:si>
    <x:t xml:space="preserve">deck:27aa165fe1f5c2880954</x:t>
  </x:si>
  <x:si>
    <x:t xml:space="preserve">Mono-Blue Belcher · JustAnotherGuy83 · 第7名</x:t>
  </x:si>
  <x:si>
    <x:t xml:space="preserve">Mono-Blue Belcher · JustAnotherGuy83 · Rank 7</x:t>
  </x:si>
  <x:si>
    <x:t xml:space="preserve">https://jacelber.github.io/mtgo-data/index.html?format=modern&amp;product=mtgo-top8&amp;week=2026-W33&amp;detail=12851122%3A7&amp;lang=zh</x:t>
  </x:si>
  <x:si>
    <x:t xml:space="preserve">Devoted Druid Combo</x:t>
  </x:si>
  <x:si>
    <x:t xml:space="preserve">nightwitch</x:t>
  </x:si>
  <x:si>
    <x:t xml:space="preserve">deck:bf0f4ad19de4198cda64</x:t>
  </x:si>
  <x:si>
    <x:t xml:space="preserve">Devoted Druid Combo · nightwitch · 第8名</x:t>
  </x:si>
  <x:si>
    <x:t xml:space="preserve">Devoted Druid Combo · nightwitch · Rank 8</x:t>
  </x:si>
  <x:si>
    <x:t xml:space="preserve">https://jacelber.github.io/mtgo-data/index.html?format=modern&amp;product=mtgo-top8&amp;week=2026-W33&amp;detail=12851122%3A8&amp;lang=zh</x:t>
  </x:si>
  <x:si>
    <x:t xml:space="preserve">Modern Challenge 64 · 12851612</x:t>
  </x:si>
  <x:si>
    <x:t xml:space="preserve">Amulet Titan</x:t>
  </x:si>
  <x:si>
    <x:t xml:space="preserve">reidq7</x:t>
  </x:si>
  <x:si>
    <x:t xml:space="preserve">deck:a14b29f522fcac3fd46d</x:t>
  </x:si>
  <x:si>
    <x:t xml:space="preserve">Amulet Titan · reidq7 · 第1名</x:t>
  </x:si>
  <x:si>
    <x:t xml:space="preserve">Amulet Titan · reidq7 · Rank 1</x:t>
  </x:si>
  <x:si>
    <x:t xml:space="preserve">https://jacelber.github.io/mtgo-data/index.html?format=modern&amp;product=mtgo-top8&amp;week=2026-W33&amp;detail=12851612%3A1&amp;lang=zh</x:t>
  </x:si>
  <x:si>
    <x:t xml:space="preserve">Esper Goryo's</x:t>
  </x:si>
  <x:si>
    <x:t xml:space="preserve">Rvng</x:t>
  </x:si>
  <x:si>
    <x:t xml:space="preserve">deck:cbe1cf886c402b2eae93</x:t>
  </x:si>
  <x:si>
    <x:t xml:space="preserve">Esper Goryo's · Rvng · 第2名</x:t>
  </x:si>
  <x:si>
    <x:t xml:space="preserve">Esper Goryo's · Rvng · Rank 2</x:t>
  </x:si>
  <x:si>
    <x:t xml:space="preserve">https://jacelber.github.io/mtgo-data/index.html?format=modern&amp;product=mtgo-top8&amp;week=2026-W33&amp;detail=12851612%3A2&amp;lang=zh</x:t>
  </x:si>
  <x:si>
    <x:t xml:space="preserve">Living End</x:t>
  </x:si>
  <x:si>
    <x:t xml:space="preserve">MeninoNey</x:t>
  </x:si>
  <x:si>
    <x:t xml:space="preserve">deck:a3c20a18085356a1afd3</x:t>
  </x:si>
  <x:si>
    <x:t xml:space="preserve">Living End · MeninoNey · 第3名</x:t>
  </x:si>
  <x:si>
    <x:t xml:space="preserve">Living End · MeninoNey · Rank 3</x:t>
  </x:si>
  <x:si>
    <x:t xml:space="preserve">https://jacelber.github.io/mtgo-data/index.html?format=modern&amp;product=mtgo-top8&amp;week=2026-W33&amp;detail=12851612%3A3&amp;lang=zh</x:t>
  </x:si>
  <x:si>
    <x:t xml:space="preserve">deck:ede71449fa75e11bc7b2</x:t>
  </x:si>
  <x:si>
    <x:t xml:space="preserve">https://jacelber.github.io/mtgo-data/index.html?format=modern&amp;product=mtgo-top8&amp;week=2026-W33&amp;detail=12851612%3A4&amp;lang=zh</x:t>
  </x:si>
  <x:si>
    <x:t xml:space="preserve">HoldTheElle</x:t>
  </x:si>
  <x:si>
    <x:t xml:space="preserve">deck:9b7921bb16d05c23d063</x:t>
  </x:si>
  <x:si>
    <x:t xml:space="preserve">Esper Goryo's · HoldTheElle · 第5名</x:t>
  </x:si>
  <x:si>
    <x:t xml:space="preserve">Esper Goryo's · HoldTheElle · Rank 5</x:t>
  </x:si>
  <x:si>
    <x:t xml:space="preserve">https://jacelber.github.io/mtgo-data/index.html?format=modern&amp;product=mtgo-top8&amp;week=2026-W33&amp;detail=12851612%3A5&amp;lang=zh</x:t>
  </x:si>
  <x:si>
    <x:t xml:space="preserve">SuperCow12653</x:t>
  </x:si>
  <x:si>
    <x:t xml:space="preserve">deck:d2a0e4c9c9a128c72bfc</x:t>
  </x:si>
  <x:si>
    <x:t xml:space="preserve">Prowess · SuperCow12653 · 第6名</x:t>
  </x:si>
  <x:si>
    <x:t xml:space="preserve">Prowess · SuperCow12653 · Rank 6</x:t>
  </x:si>
  <x:si>
    <x:t xml:space="preserve">https://jacelber.github.io/mtgo-data/index.html?format=modern&amp;product=mtgo-top8&amp;week=2026-W33&amp;detail=12851612%3A6&amp;lang=zh</x:t>
  </x:si>
  <x:si>
    <x:t xml:space="preserve">HouseOfManaMTG</x:t>
  </x:si>
  <x:si>
    <x:t xml:space="preserve">deck:52fa5c8dd2a7a0290e4a</x:t>
  </x:si>
  <x:si>
    <x:t xml:space="preserve">Devoted Druid Combo · HouseOfManaMTG · 第7名</x:t>
  </x:si>
  <x:si>
    <x:t xml:space="preserve">Devoted Druid Combo · HouseOfManaMTG · Rank 7</x:t>
  </x:si>
  <x:si>
    <x:t xml:space="preserve">https://jacelber.github.io/mtgo-data/index.html?format=modern&amp;product=mtgo-top8&amp;week=2026-W33&amp;detail=12851612%3A7&amp;lang=zh</x:t>
  </x:si>
  <x:si>
    <x:t xml:space="preserve">Necrodominance</x:t>
  </x:si>
  <x:si>
    <x:t xml:space="preserve">Craig_Long123</x:t>
  </x:si>
  <x:si>
    <x:t xml:space="preserve">deck:971370b03175ca880a55</x:t>
  </x:si>
  <x:si>
    <x:t xml:space="preserve">Necrodominance · Craig_Long123 · 第8名</x:t>
  </x:si>
  <x:si>
    <x:t xml:space="preserve">Necrodominance · Craig_Long123 · Rank 8</x:t>
  </x:si>
  <x:si>
    <x:t xml:space="preserve">https://jacelber.github.io/mtgo-data/index.html?format=modern&amp;product=mtgo-top8&amp;week=2026-W33&amp;detail=12851612%3A8&amp;lang=zh</x:t>
  </x:si>
  <x:si>
    <x:t xml:space="preserve">Modern Challenge 32 · 12851614</x:t>
  </x:si>
  <x:si>
    <x:t xml:space="preserve">2026-08-12</x:t>
  </x:si>
  <x:si>
    <x:t xml:space="preserve">Boros Ponza</x:t>
  </x:si>
  <x:si>
    <x:t xml:space="preserve">deck:eedcd1f733d9386180a7</x:t>
  </x:si>
  <x:si>
    <x:t xml:space="preserve">Boros Ponza · Kritik · 第1名</x:t>
  </x:si>
  <x:si>
    <x:t xml:space="preserve">Boros Ponza · Kritik · Rank 1</x:t>
  </x:si>
  <x:si>
    <x:t xml:space="preserve">https://jacelber.github.io/mtgo-data/index.html?format=modern&amp;product=mtgo-top8&amp;week=2026-W33&amp;detail=12851614%3A1&amp;lang=zh</x:t>
  </x:si>
  <x:si>
    <x:t xml:space="preserve">Simic Neoform</x:t>
  </x:si>
  <x:si>
    <x:t xml:space="preserve">frekinsmart</x:t>
  </x:si>
  <x:si>
    <x:t xml:space="preserve">deck:a528d5c5e17bccc1824c</x:t>
  </x:si>
  <x:si>
    <x:t xml:space="preserve">Simic Neoform · frekinsmart · 第2名</x:t>
  </x:si>
  <x:si>
    <x:t xml:space="preserve">Simic Neoform · frekinsmart · Rank 2</x:t>
  </x:si>
  <x:si>
    <x:t xml:space="preserve">https://jacelber.github.io/mtgo-data/index.html?format=modern&amp;product=mtgo-top8&amp;week=2026-W33&amp;detail=12851614%3A2&amp;lang=zh</x:t>
  </x:si>
  <x:si>
    <x:t xml:space="preserve">Kollslaw</x:t>
  </x:si>
  <x:si>
    <x:t xml:space="preserve">deck:996238f9d83eeebcbdee</x:t>
  </x:si>
  <x:si>
    <x:t xml:space="preserve">Esper Goryo's · Kollslaw · 第3名</x:t>
  </x:si>
  <x:si>
    <x:t xml:space="preserve">Esper Goryo's · Kollslaw · Rank 3</x:t>
  </x:si>
  <x:si>
    <x:t xml:space="preserve">https://jacelber.github.io/mtgo-data/index.html?format=modern&amp;product=mtgo-top8&amp;week=2026-W33&amp;detail=12851614%3A3&amp;lang=zh</x:t>
  </x:si>
  <x:si>
    <x:t xml:space="preserve">HuUeBR</x:t>
  </x:si>
  <x:si>
    <x:t xml:space="preserve">deck:bba99252c87ffbe5bea1</x:t>
  </x:si>
  <x:si>
    <x:t xml:space="preserve">Broodscale Combo · HuUeBR · 第4名</x:t>
  </x:si>
  <x:si>
    <x:t xml:space="preserve">Broodscale Combo · HuUeBR · Rank 4</x:t>
  </x:si>
  <x:si>
    <x:t xml:space="preserve">https://jacelber.github.io/mtgo-data/index.html?format=modern&amp;product=mtgo-top8&amp;week=2026-W33&amp;detail=12851614%3A4&amp;lang=zh</x:t>
  </x:si>
  <x:si>
    <x:t xml:space="preserve">deck:95db744245e23d50358c</x:t>
  </x:si>
  <x:si>
    <x:t xml:space="preserve">Devoted Druid Combo · LucasG1ggs · 第5名</x:t>
  </x:si>
  <x:si>
    <x:t xml:space="preserve">Devoted Druid Combo · LucasG1ggs · Rank 5</x:t>
  </x:si>
  <x:si>
    <x:t xml:space="preserve">https://jacelber.github.io/mtgo-data/index.html?format=modern&amp;product=mtgo-top8&amp;week=2026-W33&amp;detail=12851614%3A5&amp;lang=zh</x:t>
  </x:si>
  <x:si>
    <x:t xml:space="preserve">Eldrazi Tron</x:t>
  </x:si>
  <x:si>
    <x:t xml:space="preserve">Stealthmagician</x:t>
  </x:si>
  <x:si>
    <x:t xml:space="preserve">deck:79521f8c484938c0e2a0</x:t>
  </x:si>
  <x:si>
    <x:t xml:space="preserve">Eldrazi Tron · Stealthmagician · 第6名</x:t>
  </x:si>
  <x:si>
    <x:t xml:space="preserve">Eldrazi Tron · Stealthmagician · Rank 6</x:t>
  </x:si>
  <x:si>
    <x:t xml:space="preserve">https://jacelber.github.io/mtgo-data/index.html?format=modern&amp;product=mtgo-top8&amp;week=2026-W33&amp;detail=12851614%3A6&amp;lang=zh</x:t>
  </x:si>
  <x:si>
    <x:t xml:space="preserve">Song of Creation</x:t>
  </x:si>
  <x:si>
    <x:t xml:space="preserve">mommydom_manifesto</x:t>
  </x:si>
  <x:si>
    <x:t xml:space="preserve">deck:b3067d589ec3772e4cc9</x:t>
  </x:si>
  <x:si>
    <x:t xml:space="preserve">Song of Creation · mommydom_manifesto · 第7名</x:t>
  </x:si>
  <x:si>
    <x:t xml:space="preserve">Song of Creation · mommydom_manifesto · Rank 7</x:t>
  </x:si>
  <x:si>
    <x:t xml:space="preserve">https://jacelber.github.io/mtgo-data/index.html?format=modern&amp;product=mtgo-top8&amp;week=2026-W33&amp;detail=12851614%3A7&amp;lang=zh</x:t>
  </x:si>
  <x:si>
    <x:t xml:space="preserve">Watchwolf92</x:t>
  </x:si>
  <x:si>
    <x:t xml:space="preserve">deck:19c7506b7f7321f78135</x:t>
  </x:si>
  <x:si>
    <x:t xml:space="preserve">Esper Blink · Watchwolf92 · 第8名</x:t>
  </x:si>
  <x:si>
    <x:t xml:space="preserve">Esper Blink · Watchwolf92 · Rank 8</x:t>
  </x:si>
  <x:si>
    <x:t xml:space="preserve">https://jacelber.github.io/mtgo-data/index.html?format=modern&amp;product=mtgo-top8&amp;week=2026-W33&amp;detail=12851614%3A8&amp;lang=zh</x:t>
  </x:si>
  <x:si>
    <x:t xml:space="preserve">Modern Challenge 96 · 12851623</x:t>
  </x:si>
  <x:si>
    <x:t xml:space="preserve">_theMoonSage_</x:t>
  </x:si>
  <x:si>
    <x:t xml:space="preserve">deck:380788ddb7ecbcdee104</x:t>
  </x:si>
  <x:si>
    <x:t xml:space="preserve">Devoted Druid Combo · _theMoonSage_ · 第1名</x:t>
  </x:si>
  <x:si>
    <x:t xml:space="preserve">Devoted Druid Combo · _theMoonSage_ · Rank 1</x:t>
  </x:si>
  <x:si>
    <x:t xml:space="preserve">https://jacelber.github.io/mtgo-data/index.html?format=modern&amp;product=mtgo-top8&amp;week=2026-W33&amp;detail=12851623%3A1&amp;lang=zh</x:t>
  </x:si>
  <x:si>
    <x:t xml:space="preserve">deck:747819f36eeed05aa4c0</x:t>
  </x:si>
  <x:si>
    <x:t xml:space="preserve">Living End · MeninoNey · 第2名</x:t>
  </x:si>
  <x:si>
    <x:t xml:space="preserve">Living End · MeninoNey · Rank 2</x:t>
  </x:si>
  <x:si>
    <x:t xml:space="preserve">https://jacelber.github.io/mtgo-data/index.html?format=modern&amp;product=mtgo-top8&amp;week=2026-W33&amp;detail=12851623%3A2&amp;lang=zh</x:t>
  </x:si>
  <x:si>
    <x:t xml:space="preserve">ipadkid</x:t>
  </x:si>
  <x:si>
    <x:t xml:space="preserve">deck:8f93897025f84822b99b</x:t>
  </x:si>
  <x:si>
    <x:t xml:space="preserve">Dimir Tempo · ipadkid · 第3名</x:t>
  </x:si>
  <x:si>
    <x:t xml:space="preserve">Dimir Tempo · ipadkid · Rank 3</x:t>
  </x:si>
  <x:si>
    <x:t xml:space="preserve">https://jacelber.github.io/mtgo-data/index.html?format=modern&amp;product=mtgo-top8&amp;week=2026-W33&amp;detail=12851623%3A3&amp;lang=zh</x:t>
  </x:si>
  <x:si>
    <x:t xml:space="preserve">Izzet Wizards</x:t>
  </x:si>
  <x:si>
    <x:t xml:space="preserve">Alico</x:t>
  </x:si>
  <x:si>
    <x:t xml:space="preserve">deck:59a755d62c24c49d6351</x:t>
  </x:si>
  <x:si>
    <x:t xml:space="preserve">Izzet Wizards · Alico · 第4名</x:t>
  </x:si>
  <x:si>
    <x:t xml:space="preserve">Izzet Wizards · Alico · Rank 4</x:t>
  </x:si>
  <x:si>
    <x:t xml:space="preserve">https://jacelber.github.io/mtgo-data/index.html?format=modern&amp;product=mtgo-top8&amp;week=2026-W33&amp;detail=12851623%3A4&amp;lang=zh</x:t>
  </x:si>
  <x:si>
    <x:t xml:space="preserve">kthanakit26</x:t>
  </x:si>
  <x:si>
    <x:t xml:space="preserve">deck:d974ade76d2453ce45bb</x:t>
  </x:si>
  <x:si>
    <x:t xml:space="preserve">Boros Ponza · kthanakit26 · 第5名</x:t>
  </x:si>
  <x:si>
    <x:t xml:space="preserve">Boros Ponza · kthanakit26 · Rank 5</x:t>
  </x:si>
  <x:si>
    <x:t xml:space="preserve">https://jacelber.github.io/mtgo-data/index.html?format=modern&amp;product=mtgo-top8&amp;week=2026-W33&amp;detail=12851623%3A5&amp;lang=zh</x:t>
  </x:si>
  <x:si>
    <x:t xml:space="preserve">ShikiXYZ</x:t>
  </x:si>
  <x:si>
    <x:t xml:space="preserve">deck:c78596d7b96558166c40</x:t>
  </x:si>
  <x:si>
    <x:t xml:space="preserve">Boros Ponza · ShikiXYZ · 第6名</x:t>
  </x:si>
  <x:si>
    <x:t xml:space="preserve">Boros Ponza · ShikiXYZ · Rank 6</x:t>
  </x:si>
  <x:si>
    <x:t xml:space="preserve">https://jacelber.github.io/mtgo-data/index.html?format=modern&amp;product=mtgo-top8&amp;week=2026-W33&amp;detail=12851623%3A6&amp;lang=zh</x:t>
  </x:si>
  <x:si>
    <x:t xml:space="preserve">Aced5</x:t>
  </x:si>
  <x:si>
    <x:t xml:space="preserve">deck:cb4abb4ed7721874ab8b</x:t>
  </x:si>
  <x:si>
    <x:t xml:space="preserve">Boros Energy · Aced5 · 第7名</x:t>
  </x:si>
  <x:si>
    <x:t xml:space="preserve">Boros Energy · Aced5 · Rank 7</x:t>
  </x:si>
  <x:si>
    <x:t xml:space="preserve">https://jacelber.github.io/mtgo-data/index.html?format=modern&amp;product=mtgo-top8&amp;week=2026-W33&amp;detail=12851623%3A7&amp;lang=zh</x:t>
  </x:si>
  <x:si>
    <x:t xml:space="preserve">Rashek</x:t>
  </x:si>
  <x:si>
    <x:t xml:space="preserve">deck:f19b33cb1bad034081e5</x:t>
  </x:si>
  <x:si>
    <x:t xml:space="preserve">Boros Energy · Rashek · 第8名</x:t>
  </x:si>
  <x:si>
    <x:t xml:space="preserve">Boros Energy · Rashek · Rank 8</x:t>
  </x:si>
  <x:si>
    <x:t xml:space="preserve">https://jacelber.github.io/mtgo-data/index.html?format=modern&amp;product=mtgo-top8&amp;week=2026-W33&amp;detail=12851623%3A8&amp;lang=zh</x:t>
  </x:si>
  <x:si>
    <x:t xml:space="preserve">Modern Challenge 64 · 12851632</x:t>
  </x:si>
  <x:si>
    <x:t xml:space="preserve">eswaff</x:t>
  </x:si>
  <x:si>
    <x:t xml:space="preserve">deck:3fea4a37ffd54c3f5a6a</x:t>
  </x:si>
  <x:si>
    <x:t xml:space="preserve">Esper Goryo's · eswaff · 第1名</x:t>
  </x:si>
  <x:si>
    <x:t xml:space="preserve">Esper Goryo's · eswaff · Rank 1</x:t>
  </x:si>
  <x:si>
    <x:t xml:space="preserve">https://jacelber.github.io/mtgo-data/index.html?format=modern&amp;product=mtgo-top8&amp;week=2026-W33&amp;detail=12851632%3A1&amp;lang=zh</x:t>
  </x:si>
  <x:si>
    <x:t xml:space="preserve">deck:ad346963fcf45a711737</x:t>
  </x:si>
  <x:si>
    <x:t xml:space="preserve">Boros Energy · fazparte · 第2名</x:t>
  </x:si>
  <x:si>
    <x:t xml:space="preserve">Boros Energy · fazparte · Rank 2</x:t>
  </x:si>
  <x:si>
    <x:t xml:space="preserve">https://jacelber.github.io/mtgo-data/index.html?format=modern&amp;product=mtgo-top8&amp;week=2026-W33&amp;detail=12851632%3A2&amp;lang=zh</x:t>
  </x:si>
  <x:si>
    <x:t xml:space="preserve">Scappie</x:t>
  </x:si>
  <x:si>
    <x:t xml:space="preserve">deck:dc39df2c2fbff54c5b12</x:t>
  </x:si>
  <x:si>
    <x:t xml:space="preserve">Eldrazi Tron · Scappie · 第3名</x:t>
  </x:si>
  <x:si>
    <x:t xml:space="preserve">Eldrazi Tron · Scappie · Rank 3</x:t>
  </x:si>
  <x:si>
    <x:t xml:space="preserve">https://jacelber.github.io/mtgo-data/index.html?format=modern&amp;product=mtgo-top8&amp;week=2026-W33&amp;detail=12851632%3A3&amp;lang=zh</x:t>
  </x:si>
  <x:si>
    <x:t xml:space="preserve">MercurialChemister</x:t>
  </x:si>
  <x:si>
    <x:t xml:space="preserve">deck:c85eba06c15936234246</x:t>
  </x:si>
  <x:si>
    <x:t xml:space="preserve">Domain Zoo · MercurialChemister · 第4名</x:t>
  </x:si>
  <x:si>
    <x:t xml:space="preserve">Domain Zoo · MercurialChemister · Rank 4</x:t>
  </x:si>
  <x:si>
    <x:t xml:space="preserve">https://jacelber.github.io/mtgo-data/index.html?format=modern&amp;product=mtgo-top8&amp;week=2026-W33&amp;detail=12851632%3A4&amp;lang=zh</x:t>
  </x:si>
  <x:si>
    <x:t xml:space="preserve">Esper Ketramose</x:t>
  </x:si>
  <x:si>
    <x:t xml:space="preserve">TSPJendrek</x:t>
  </x:si>
  <x:si>
    <x:t xml:space="preserve">deck:3aa06ae12b0102d100a1</x:t>
  </x:si>
  <x:si>
    <x:t xml:space="preserve">Esper Ketramose · TSPJendrek · 第5名</x:t>
  </x:si>
  <x:si>
    <x:t xml:space="preserve">Esper Ketramose · TSPJendrek · Rank 5</x:t>
  </x:si>
  <x:si>
    <x:t xml:space="preserve">https://jacelber.github.io/mtgo-data/index.html?format=modern&amp;product=mtgo-top8&amp;week=2026-W33&amp;detail=12851632%3A5&amp;lang=zh</x:t>
  </x:si>
  <x:si>
    <x:t xml:space="preserve">manohito</x:t>
  </x:si>
  <x:si>
    <x:t xml:space="preserve">deck:1126e6c798466666551e</x:t>
  </x:si>
  <x:si>
    <x:t xml:space="preserve">Broodscale Combo · manohito · 第6名</x:t>
  </x:si>
  <x:si>
    <x:t xml:space="preserve">Broodscale Combo · manohito · Rank 6</x:t>
  </x:si>
  <x:si>
    <x:t xml:space="preserve">https://jacelber.github.io/mtgo-data/index.html?format=modern&amp;product=mtgo-top8&amp;week=2026-W33&amp;detail=12851632%3A6&amp;lang=zh</x:t>
  </x:si>
  <x:si>
    <x:t xml:space="preserve">DskBayWolf</x:t>
  </x:si>
  <x:si>
    <x:t xml:space="preserve">deck:212356fcd894aeb1a94d</x:t>
  </x:si>
  <x:si>
    <x:t xml:space="preserve">Esper Goryo's · DskBayWolf · 第7名</x:t>
  </x:si>
  <x:si>
    <x:t xml:space="preserve">Esper Goryo's · DskBayWolf · Rank 7</x:t>
  </x:si>
  <x:si>
    <x:t xml:space="preserve">https://jacelber.github.io/mtgo-data/index.html?format=modern&amp;product=mtgo-top8&amp;week=2026-W33&amp;detail=12851632%3A7&amp;lang=zh</x:t>
  </x:si>
  <x:si>
    <x:t xml:space="preserve">Golgari Yawgmoth</x:t>
  </x:si>
  <x:si>
    <x:t xml:space="preserve">The_Yoda</x:t>
  </x:si>
  <x:si>
    <x:t xml:space="preserve">deck:fe7bd32068b615049dfe</x:t>
  </x:si>
  <x:si>
    <x:t xml:space="preserve">Golgari Yawgmoth · The_Yoda · 第8名</x:t>
  </x:si>
  <x:si>
    <x:t xml:space="preserve">Golgari Yawgmoth · The_Yoda · Rank 8</x:t>
  </x:si>
  <x:si>
    <x:t xml:space="preserve">https://jacelber.github.io/mtgo-data/index.html?format=modern&amp;product=mtgo-top8&amp;week=2026-W33&amp;detail=12851632%3A8&amp;lang=zh</x:t>
  </x:si>
  <x:si>
    <x:t xml:space="preserve">Modern Challenge 64 · 12851649</x:t>
  </x:si>
  <x:si>
    <x:t xml:space="preserve">RandomGameActions</x:t>
  </x:si>
  <x:si>
    <x:t xml:space="preserve">deck:574dbf79e4c8c917742d</x:t>
  </x:si>
  <x:si>
    <x:t xml:space="preserve">Esper Blink · RandomGameActions · 第1名</x:t>
  </x:si>
  <x:si>
    <x:t xml:space="preserve">Esper Blink · RandomGameActions · Rank 1</x:t>
  </x:si>
  <x:si>
    <x:t xml:space="preserve">https://jacelber.github.io/mtgo-data/index.html?format=modern&amp;product=mtgo-top8&amp;week=2026-W33&amp;detail=12851649%3A1&amp;lang=zh</x:t>
  </x:si>
  <x:si>
    <x:t xml:space="preserve">bestdraveneu</x:t>
  </x:si>
  <x:si>
    <x:t xml:space="preserve">deck:9273e69f588de0ab7519</x:t>
  </x:si>
  <x:si>
    <x:t xml:space="preserve">Izzet Steel-Cutter · bestdraveneu · 第2名</x:t>
  </x:si>
  <x:si>
    <x:t xml:space="preserve">Izzet Steel-Cutter · bestdraveneu · Rank 2</x:t>
  </x:si>
  <x:si>
    <x:t xml:space="preserve">https://jacelber.github.io/mtgo-data/index.html?format=modern&amp;product=mtgo-top8&amp;week=2026-W33&amp;detail=12851649%3A2&amp;lang=zh</x:t>
  </x:si>
  <x:si>
    <x:t xml:space="preserve">Azja</x:t>
  </x:si>
  <x:si>
    <x:t xml:space="preserve">deck:900b25470aa62ca40b93</x:t>
  </x:si>
  <x:si>
    <x:t xml:space="preserve">Simic Neoform · Azja · 第3名</x:t>
  </x:si>
  <x:si>
    <x:t xml:space="preserve">Simic Neoform · Azja · Rank 3</x:t>
  </x:si>
  <x:si>
    <x:t xml:space="preserve">https://jacelber.github.io/mtgo-data/index.html?format=modern&amp;product=mtgo-top8&amp;week=2026-W33&amp;detail=12851649%3A3&amp;lang=zh</x:t>
  </x:si>
  <x:si>
    <x:t xml:space="preserve">Retrisma</x:t>
  </x:si>
  <x:si>
    <x:t xml:space="preserve">deck:46b7484da2855f28a2e9</x:t>
  </x:si>
  <x:si>
    <x:t xml:space="preserve">Necrodominance · Retrisma · 第4名</x:t>
  </x:si>
  <x:si>
    <x:t xml:space="preserve">Necrodominance · Retrisma · Rank 4</x:t>
  </x:si>
  <x:si>
    <x:t xml:space="preserve">https://jacelber.github.io/mtgo-data/index.html?format=modern&amp;product=mtgo-top8&amp;week=2026-W33&amp;detail=12851649%3A4&amp;lang=zh</x:t>
  </x:si>
  <x:si>
    <x:t xml:space="preserve">Laplasjan</x:t>
  </x:si>
  <x:si>
    <x:t xml:space="preserve">deck:ea9c18cdf95d7503892d</x:t>
  </x:si>
  <x:si>
    <x:t xml:space="preserve">Devoted Druid Combo · Laplasjan · 第5名</x:t>
  </x:si>
  <x:si>
    <x:t xml:space="preserve">Devoted Druid Combo · Laplasjan · Rank 5</x:t>
  </x:si>
  <x:si>
    <x:t xml:space="preserve">https://jacelber.github.io/mtgo-data/index.html?format=modern&amp;product=mtgo-top8&amp;week=2026-W33&amp;detail=12851649%3A5&amp;lang=zh</x:t>
  </x:si>
  <x:si>
    <x:t xml:space="preserve">BLJ</x:t>
  </x:si>
  <x:si>
    <x:t xml:space="preserve">deck:6ec961d4aa03231b4e7b</x:t>
  </x:si>
  <x:si>
    <x:t xml:space="preserve">Broodscale Combo · BLJ · 第6名</x:t>
  </x:si>
  <x:si>
    <x:t xml:space="preserve">Broodscale Combo · BLJ · Rank 6</x:t>
  </x:si>
  <x:si>
    <x:t xml:space="preserve">https://jacelber.github.io/mtgo-data/index.html?format=modern&amp;product=mtgo-top8&amp;week=2026-W33&amp;detail=12851649%3A6&amp;lang=zh</x:t>
  </x:si>
  <x:si>
    <x:t xml:space="preserve">DeepDisherino</x:t>
  </x:si>
  <x:si>
    <x:t xml:space="preserve">deck:50442d6f210600af5dc9</x:t>
  </x:si>
  <x:si>
    <x:t xml:space="preserve">Affinity · DeepDisherino · 第7名</x:t>
  </x:si>
  <x:si>
    <x:t xml:space="preserve">Affinity · DeepDisherino · Rank 7</x:t>
  </x:si>
  <x:si>
    <x:t xml:space="preserve">https://jacelber.github.io/mtgo-data/index.html?format=modern&amp;product=mtgo-top8&amp;week=2026-W33&amp;detail=12851649%3A7&amp;lang=zh</x:t>
  </x:si>
  <x:si>
    <x:t xml:space="preserve">deck:d11e008a728514ac6a63</x:t>
  </x:si>
  <x:si>
    <x:t xml:space="preserve">Boros Energy · fazparte · 第8名</x:t>
  </x:si>
  <x:si>
    <x:t xml:space="preserve">Boros Energy · fazparte · Rank 8</x:t>
  </x:si>
  <x:si>
    <x:t xml:space="preserve">https://jacelber.github.io/mtgo-data/index.html?format=modern&amp;product=mtgo-top8&amp;week=2026-W33&amp;detail=12851649%3A8&amp;lang=zh</x:t>
  </x:si>
  <x:si>
    <x:t xml:space="preserve">Modern Challenge 64 · 12851658</x:t>
  </x:si>
  <x:si>
    <x:t xml:space="preserve">Ashigaruu</x:t>
  </x:si>
  <x:si>
    <x:t xml:space="preserve">deck:2266cd37977bfc458033</x:t>
  </x:si>
  <x:si>
    <x:t xml:space="preserve">Broodscale Combo · Ashigaruu · 第1名</x:t>
  </x:si>
  <x:si>
    <x:t xml:space="preserve">Broodscale Combo · Ashigaruu · Rank 1</x:t>
  </x:si>
  <x:si>
    <x:t xml:space="preserve">https://jacelber.github.io/mtgo-data/index.html?format=modern&amp;product=mtgo-top8&amp;week=2026-W33&amp;detail=12851658%3A1&amp;lang=zh</x:t>
  </x:si>
  <x:si>
    <x:t xml:space="preserve">Xsper</x:t>
  </x:si>
  <x:si>
    <x:t xml:space="preserve">deck:53e9bb79e9eebd7f77db</x:t>
  </x:si>
  <x:si>
    <x:t xml:space="preserve">Prowess · Xsper · 第2名</x:t>
  </x:si>
  <x:si>
    <x:t xml:space="preserve">Prowess · Xsper · Rank 2</x:t>
  </x:si>
  <x:si>
    <x:t xml:space="preserve">https://jacelber.github.io/mtgo-data/index.html?format=modern&amp;product=mtgo-top8&amp;week=2026-W33&amp;detail=12851658%3A2&amp;lang=zh</x:t>
  </x:si>
  <x:si>
    <x:t xml:space="preserve">nahuel10</x:t>
  </x:si>
  <x:si>
    <x:t xml:space="preserve">deck:d6d98a41088424439854</x:t>
  </x:si>
  <x:si>
    <x:t xml:space="preserve">Prowess · nahuel10 · 第3名</x:t>
  </x:si>
  <x:si>
    <x:t xml:space="preserve">Prowess · nahuel10 · Rank 3</x:t>
  </x:si>
  <x:si>
    <x:t xml:space="preserve">https://jacelber.github.io/mtgo-data/index.html?format=modern&amp;product=mtgo-top8&amp;week=2026-W33&amp;detail=12851658%3A3&amp;lang=zh</x:t>
  </x:si>
  <x:si>
    <x:t xml:space="preserve">i_b_TRUE</x:t>
  </x:si>
  <x:si>
    <x:t xml:space="preserve">deck:1f37df8c00991ec2d2b1</x:t>
  </x:si>
  <x:si>
    <x:t xml:space="preserve">Simic Neoform · i_b_TRUE · 第4名</x:t>
  </x:si>
  <x:si>
    <x:t xml:space="preserve">Simic Neoform · i_b_TRUE · Rank 4</x:t>
  </x:si>
  <x:si>
    <x:t xml:space="preserve">https://jacelber.github.io/mtgo-data/index.html?format=modern&amp;product=mtgo-top8&amp;week=2026-W33&amp;detail=12851658%3A4&amp;lang=zh</x:t>
  </x:si>
  <x:si>
    <x:t xml:space="preserve">selesneal</x:t>
  </x:si>
  <x:si>
    <x:t xml:space="preserve">deck:e2b01ec85a18e598bc2d</x:t>
  </x:si>
  <x:si>
    <x:t xml:space="preserve">Devoted Druid Combo · selesneal · 第5名</x:t>
  </x:si>
  <x:si>
    <x:t xml:space="preserve">Devoted Druid Combo · selesneal · Rank 5</x:t>
  </x:si>
  <x:si>
    <x:t xml:space="preserve">https://jacelber.github.io/mtgo-data/index.html?format=modern&amp;product=mtgo-top8&amp;week=2026-W33&amp;detail=12851658%3A5&amp;lang=zh</x:t>
  </x:si>
  <x:si>
    <x:t xml:space="preserve">gazmon48</x:t>
  </x:si>
  <x:si>
    <x:t xml:space="preserve">deck:3461ea5c55efc79f9e95</x:t>
  </x:si>
  <x:si>
    <x:t xml:space="preserve">Izzet Steel-Cutter · gazmon48 · 第6名</x:t>
  </x:si>
  <x:si>
    <x:t xml:space="preserve">Izzet Steel-Cutter · gazmon48 · Rank 6</x:t>
  </x:si>
  <x:si>
    <x:t xml:space="preserve">https://jacelber.github.io/mtgo-data/index.html?format=modern&amp;product=mtgo-top8&amp;week=2026-W33&amp;detail=12851658%3A6&amp;lang=zh</x:t>
  </x:si>
  <x:si>
    <x:t xml:space="preserve">HelpfulHobo</x:t>
  </x:si>
  <x:si>
    <x:t xml:space="preserve">deck:dbb0831c9354e91bca81</x:t>
  </x:si>
  <x:si>
    <x:t xml:space="preserve">Simic Neoform · HelpfulHobo · 第7名</x:t>
  </x:si>
  <x:si>
    <x:t xml:space="preserve">Simic Neoform · HelpfulHobo · Rank 7</x:t>
  </x:si>
  <x:si>
    <x:t xml:space="preserve">https://jacelber.github.io/mtgo-data/index.html?format=modern&amp;product=mtgo-top8&amp;week=2026-W33&amp;detail=12851658%3A7&amp;lang=zh</x:t>
  </x:si>
  <x:si>
    <x:t xml:space="preserve">_Batutinha_</x:t>
  </x:si>
  <x:si>
    <x:t xml:space="preserve">deck:249b77550ccff1bec6a3</x:t>
  </x:si>
  <x:si>
    <x:t xml:space="preserve">Boros Energy · _Batutinha_ · 第8名</x:t>
  </x:si>
  <x:si>
    <x:t xml:space="preserve">Boros Energy · _Batutinha_ · Rank 8</x:t>
  </x:si>
  <x:si>
    <x:t xml:space="preserve">https://jacelber.github.io/mtgo-data/index.html?format=modern&amp;product=mtgo-top8&amp;week=2026-W33&amp;detail=12851658%3A8&amp;lang=zh</x:t>
  </x:si>
  <x:si>
    <x:t xml:space="preserve">Modern Challenge 32 · 12851660</x:t>
  </x:si>
  <x:si>
    <x:t xml:space="preserve">Lantern Control</x:t>
  </x:si>
  <x:si>
    <x:t xml:space="preserve">Taddy_99</x:t>
  </x:si>
  <x:si>
    <x:t xml:space="preserve">deck:4b795941a41de450b66b</x:t>
  </x:si>
  <x:si>
    <x:t xml:space="preserve">Lantern Control · Taddy_99 · 第1名</x:t>
  </x:si>
  <x:si>
    <x:t xml:space="preserve">Lantern Control · Taddy_99 · Rank 1</x:t>
  </x:si>
  <x:si>
    <x:t xml:space="preserve">https://jacelber.github.io/mtgo-data/index.html?format=modern&amp;product=mtgo-top8&amp;week=2026-W33&amp;detail=12851660%3A1&amp;lang=zh</x:t>
  </x:si>
  <x:si>
    <x:t xml:space="preserve">deck:3f185e204b97428559d8</x:t>
  </x:si>
  <x:si>
    <x:t xml:space="preserve">https://jacelber.github.io/mtgo-data/index.html?format=modern&amp;product=mtgo-top8&amp;week=2026-W33&amp;detail=12851660%3A2&amp;lang=zh</x:t>
  </x:si>
  <x:si>
    <x:t xml:space="preserve">SanPop</x:t>
  </x:si>
  <x:si>
    <x:t xml:space="preserve">deck:a3c99746e4179faacd9d</x:t>
  </x:si>
  <x:si>
    <x:t xml:space="preserve">Esper Ketramose · SanPop · 第3名</x:t>
  </x:si>
  <x:si>
    <x:t xml:space="preserve">Esper Ketramose · SanPop · Rank 3</x:t>
  </x:si>
  <x:si>
    <x:t xml:space="preserve">https://jacelber.github.io/mtgo-data/index.html?format=modern&amp;product=mtgo-top8&amp;week=2026-W33&amp;detail=12851660%3A3&amp;lang=zh</x:t>
  </x:si>
  <x:si>
    <x:t xml:space="preserve">Chant Control</x:t>
  </x:si>
  <x:si>
    <x:t xml:space="preserve">xl_snapcaster</x:t>
  </x:si>
  <x:si>
    <x:t xml:space="preserve">deck:f50274cafc9fe0cc9f83</x:t>
  </x:si>
  <x:si>
    <x:t xml:space="preserve">Chant Control · xl_snapcaster · 第4名</x:t>
  </x:si>
  <x:si>
    <x:t xml:space="preserve">Chant Control · xl_snapcaster · Rank 4</x:t>
  </x:si>
  <x:si>
    <x:t xml:space="preserve">https://jacelber.github.io/mtgo-data/index.html?format=modern&amp;product=mtgo-top8&amp;week=2026-W33&amp;detail=12851660%3A4&amp;lang=zh</x:t>
  </x:si>
  <x:si>
    <x:t xml:space="preserve">Napoleon_I</x:t>
  </x:si>
  <x:si>
    <x:t xml:space="preserve">deck:d7aacf1521edccab7a5b</x:t>
  </x:si>
  <x:si>
    <x:t xml:space="preserve">Broodscale Combo · Napoleon_I · 第5名</x:t>
  </x:si>
  <x:si>
    <x:t xml:space="preserve">Broodscale Combo · Napoleon_I · Rank 5</x:t>
  </x:si>
  <x:si>
    <x:t xml:space="preserve">https://jacelber.github.io/mtgo-data/index.html?format=modern&amp;product=mtgo-top8&amp;week=2026-W33&amp;detail=12851660%3A5&amp;lang=zh</x:t>
  </x:si>
  <x:si>
    <x:t xml:space="preserve">GigaChadSigmaMale</x:t>
  </x:si>
  <x:si>
    <x:t xml:space="preserve">deck:6f0e95cb5557da103d60</x:t>
  </x:si>
  <x:si>
    <x:t xml:space="preserve">Esper Goryo's · GigaChadSigmaMale · 第6名</x:t>
  </x:si>
  <x:si>
    <x:t xml:space="preserve">Esper Goryo's · GigaChadSigmaMale · Rank 6</x:t>
  </x:si>
  <x:si>
    <x:t xml:space="preserve">https://jacelber.github.io/mtgo-data/index.html?format=modern&amp;product=mtgo-top8&amp;week=2026-W33&amp;detail=12851660%3A6&amp;lang=zh</x:t>
  </x:si>
  <x:si>
    <x:t xml:space="preserve">Five-Color Elementals</x:t>
  </x:si>
  <x:si>
    <x:t xml:space="preserve">albertosd87</x:t>
  </x:si>
  <x:si>
    <x:t xml:space="preserve">deck:357a3602c2494f2eed24</x:t>
  </x:si>
  <x:si>
    <x:t xml:space="preserve">Five-Color Elementals · albertosd87 · 第7名</x:t>
  </x:si>
  <x:si>
    <x:t xml:space="preserve">Five-Color Elementals · albertosd87 · Rank 7</x:t>
  </x:si>
  <x:si>
    <x:t xml:space="preserve">https://jacelber.github.io/mtgo-data/index.html?format=modern&amp;product=mtgo-top8&amp;week=2026-W33&amp;detail=12851660%3A7&amp;lang=zh</x:t>
  </x:si>
  <x:si>
    <x:t xml:space="preserve">benbot9003</x:t>
  </x:si>
  <x:si>
    <x:t xml:space="preserve">deck:842fbfac208e0eb8c72f</x:t>
  </x:si>
  <x:si>
    <x:t xml:space="preserve">Eldrazi Tron · benbot9003 · 第8名</x:t>
  </x:si>
  <x:si>
    <x:t xml:space="preserve">Eldrazi Tron · benbot9003 · Rank 8</x:t>
  </x:si>
  <x:si>
    <x:t xml:space="preserve">https://jacelber.github.io/mtgo-data/index.html?format=modern&amp;product=mtgo-top8&amp;week=2026-W33&amp;detail=12851660%3A8&amp;lang=zh</x:t>
  </x:si>
  <x:si>
    <x:t xml:space="preserve">Modern RC Super Qualifier · 12851608</x:t>
  </x:si>
  <x:si>
    <x:t xml:space="preserve">Jeskai Energy</x:t>
  </x:si>
  <x:si>
    <x:t xml:space="preserve">TrueHero</x:t>
  </x:si>
  <x:si>
    <x:t xml:space="preserve">deck:af10094d2257be87dcfd</x:t>
  </x:si>
  <x:si>
    <x:t xml:space="preserve">Jeskai Energy · TrueHero · 第1名</x:t>
  </x:si>
  <x:si>
    <x:t xml:space="preserve">Jeskai Energy · TrueHero · Rank 1</x:t>
  </x:si>
  <x:si>
    <x:t xml:space="preserve">https://jacelber.github.io/mtgo-data/index.html?format=modern&amp;product=mtgo-top8&amp;week=2026-W33&amp;detail=12851608%3A1&amp;lang=zh</x:t>
  </x:si>
  <x:si>
    <x:t xml:space="preserve">Hollowvine</x:t>
  </x:si>
  <x:si>
    <x:t xml:space="preserve">_Chamytinho_</x:t>
  </x:si>
  <x:si>
    <x:t xml:space="preserve">deck:b8cab7f8178add8cce54</x:t>
  </x:si>
  <x:si>
    <x:t xml:space="preserve">Hollowvine · _Chamytinho_ · 第2名</x:t>
  </x:si>
  <x:si>
    <x:t xml:space="preserve">Hollowvine · _Chamytinho_ · Rank 2</x:t>
  </x:si>
  <x:si>
    <x:t xml:space="preserve">https://jacelber.github.io/mtgo-data/index.html?format=modern&amp;product=mtgo-top8&amp;week=2026-W33&amp;detail=12851608%3A2&amp;lang=zh</x:t>
  </x:si>
  <x:si>
    <x:t xml:space="preserve">Prim3Time</x:t>
  </x:si>
  <x:si>
    <x:t xml:space="preserve">deck:04071b4107fbbcc608ea</x:t>
  </x:si>
  <x:si>
    <x:t xml:space="preserve">Necrodominance · Prim3Time · 第3名</x:t>
  </x:si>
  <x:si>
    <x:t xml:space="preserve">Necrodominance · Prim3Time · Rank 3</x:t>
  </x:si>
  <x:si>
    <x:t xml:space="preserve">https://jacelber.github.io/mtgo-data/index.html?format=modern&amp;product=mtgo-top8&amp;week=2026-W33&amp;detail=12851608%3A3&amp;lang=zh</x:t>
  </x:si>
  <x:si>
    <x:t xml:space="preserve">Vrym</x:t>
  </x:si>
  <x:si>
    <x:t xml:space="preserve">deck:5ebb3b2351a4f40642c8</x:t>
  </x:si>
  <x:si>
    <x:t xml:space="preserve">Prowess · Vrym · 第4名</x:t>
  </x:si>
  <x:si>
    <x:t xml:space="preserve">Prowess · Vrym · Rank 4</x:t>
  </x:si>
  <x:si>
    <x:t xml:space="preserve">https://jacelber.github.io/mtgo-data/index.html?format=modern&amp;product=mtgo-top8&amp;week=2026-W33&amp;detail=12851608%3A4&amp;lang=zh</x:t>
  </x:si>
  <x:si>
    <x:t xml:space="preserve">deck:b44bce61e8b5d6bc4a09</x:t>
  </x:si>
  <x:si>
    <x:t xml:space="preserve">Izzet Steel-Cutter · bestdraveneu · 第5名</x:t>
  </x:si>
  <x:si>
    <x:t xml:space="preserve">Izzet Steel-Cutter · bestdraveneu · Rank 5</x:t>
  </x:si>
  <x:si>
    <x:t xml:space="preserve">https://jacelber.github.io/mtgo-data/index.html?format=modern&amp;product=mtgo-top8&amp;week=2026-W33&amp;detail=12851608%3A5&amp;lang=zh</x:t>
  </x:si>
  <x:si>
    <x:t xml:space="preserve">deck:d36ff2875766eb6c8048</x:t>
  </x:si>
  <x:si>
    <x:t xml:space="preserve">Esper Goryo's · Rvng · 第6名</x:t>
  </x:si>
  <x:si>
    <x:t xml:space="preserve">Esper Goryo's · Rvng · Rank 6</x:t>
  </x:si>
  <x:si>
    <x:t xml:space="preserve">https://jacelber.github.io/mtgo-data/index.html?format=modern&amp;product=mtgo-top8&amp;week=2026-W33&amp;detail=12851608%3A6&amp;lang=zh</x:t>
  </x:si>
  <x:si>
    <x:t xml:space="preserve">Fling Goyf</x:t>
  </x:si>
  <x:si>
    <x:t xml:space="preserve">Gerschi</x:t>
  </x:si>
  <x:si>
    <x:t xml:space="preserve">deck:0637a4f0d1d06022c108</x:t>
  </x:si>
  <x:si>
    <x:t xml:space="preserve">Fling Goyf · Gerschi · 第7名</x:t>
  </x:si>
  <x:si>
    <x:t xml:space="preserve">Fling Goyf · Gerschi · Rank 7</x:t>
  </x:si>
  <x:si>
    <x:t xml:space="preserve">https://jacelber.github.io/mtgo-data/index.html?format=modern&amp;product=mtgo-top8&amp;week=2026-W33&amp;detail=12851608%3A7&amp;lang=zh</x:t>
  </x:si>
  <x:si>
    <x:t xml:space="preserve">Iaashadow</x:t>
  </x:si>
  <x:si>
    <x:t xml:space="preserve">deck:b5eeb58c24488a8b21a9</x:t>
  </x:si>
  <x:si>
    <x:t xml:space="preserve">Broodscale Combo · Iaashadow · 第8名</x:t>
  </x:si>
  <x:si>
    <x:t xml:space="preserve">Broodscale Combo · Iaashadow · Rank 8</x:t>
  </x:si>
  <x:si>
    <x:t xml:space="preserve">https://jacelber.github.io/mtgo-data/index.html?format=modern&amp;product=mtgo-top8&amp;week=2026-W33&amp;detail=12851608%3A8&amp;lang=zh</x:t>
  </x:si>
  <x:si>
    <x:t xml:space="preserve">Modern Challenge 64 · 12851665</x:t>
  </x:si>
  <x:si>
    <x:t xml:space="preserve">deck:578d0779f12cbe56a821</x:t>
  </x:si>
  <x:si>
    <x:t xml:space="preserve">Esper Goryo's · DskBayWolf · 第1名</x:t>
  </x:si>
  <x:si>
    <x:t xml:space="preserve">Esper Goryo's · DskBayWolf · Rank 1</x:t>
  </x:si>
  <x:si>
    <x:t xml:space="preserve">https://jacelber.github.io/mtgo-data/index.html?format=modern&amp;product=mtgo-top8&amp;week=2026-W33&amp;detail=12851665%3A1&amp;lang=zh</x:t>
  </x:si>
  <x:si>
    <x:t xml:space="preserve">deck:e779047df8bfd85b8537</x:t>
  </x:si>
  <x:si>
    <x:t xml:space="preserve">https://jacelber.github.io/mtgo-data/index.html?format=modern&amp;product=mtgo-top8&amp;week=2026-W33&amp;detail=12851665%3A2&amp;lang=zh</x:t>
  </x:si>
  <x:si>
    <x:t xml:space="preserve">EnderW</x:t>
  </x:si>
  <x:si>
    <x:t xml:space="preserve">deck:61d9d056de860028b603</x:t>
  </x:si>
  <x:si>
    <x:t xml:space="preserve">Ruby Storm · EnderW · 第3名</x:t>
  </x:si>
  <x:si>
    <x:t xml:space="preserve">Ruby Storm · EnderW · Rank 3</x:t>
  </x:si>
  <x:si>
    <x:t xml:space="preserve">https://jacelber.github.io/mtgo-data/index.html?format=modern&amp;product=mtgo-top8&amp;week=2026-W33&amp;detail=12851665%3A3&amp;lang=zh</x:t>
  </x:si>
  <x:si>
    <x:t xml:space="preserve">Eldrazi Ramp</x:t>
  </x:si>
  <x:si>
    <x:t xml:space="preserve">Lightspirit</x:t>
  </x:si>
  <x:si>
    <x:t xml:space="preserve">deck:479db074d58ca523f9a3</x:t>
  </x:si>
  <x:si>
    <x:t xml:space="preserve">Eldrazi Ramp · Lightspirit · 第4名</x:t>
  </x:si>
  <x:si>
    <x:t xml:space="preserve">Eldrazi Ramp · Lightspirit · Rank 4</x:t>
  </x:si>
  <x:si>
    <x:t xml:space="preserve">https://jacelber.github.io/mtgo-data/index.html?format=modern&amp;product=mtgo-top8&amp;week=2026-W33&amp;detail=12851665%3A4&amp;lang=zh</x:t>
  </x:si>
  <x:si>
    <x:t xml:space="preserve">deck:36224aab1596888618c2</x:t>
  </x:si>
  <x:si>
    <x:t xml:space="preserve">Eldrazi Tron · gazmon48 · 第5名</x:t>
  </x:si>
  <x:si>
    <x:t xml:space="preserve">Eldrazi Tron · gazmon48 · Rank 5</x:t>
  </x:si>
  <x:si>
    <x:t xml:space="preserve">https://jacelber.github.io/mtgo-data/index.html?format=modern&amp;product=mtgo-top8&amp;week=2026-W33&amp;detail=12851665%3A5&amp;lang=zh</x:t>
  </x:si>
  <x:si>
    <x:t xml:space="preserve">deck:e2bbf4afbbd3ac0f5b01</x:t>
  </x:si>
  <x:si>
    <x:t xml:space="preserve">Mono-Blue Belcher · JustAnotherGuy83 · 第6名</x:t>
  </x:si>
  <x:si>
    <x:t xml:space="preserve">Mono-Blue Belcher · JustAnotherGuy83 · Rank 6</x:t>
  </x:si>
  <x:si>
    <x:t xml:space="preserve">https://jacelber.github.io/mtgo-data/index.html?format=modern&amp;product=mtgo-top8&amp;week=2026-W33&amp;detail=12851665%3A6&amp;lang=zh</x:t>
  </x:si>
  <x:si>
    <x:t xml:space="preserve">Fight Rigging</x:t>
  </x:si>
  <x:si>
    <x:t xml:space="preserve">CNewman</x:t>
  </x:si>
  <x:si>
    <x:t xml:space="preserve">deck:5c35e1ccbdd273b1b699</x:t>
  </x:si>
  <x:si>
    <x:t xml:space="preserve">Fight Rigging · CNewman · 第7名</x:t>
  </x:si>
  <x:si>
    <x:t xml:space="preserve">Fight Rigging · CNewman · Rank 7</x:t>
  </x:si>
  <x:si>
    <x:t xml:space="preserve">https://jacelber.github.io/mtgo-data/index.html?format=modern&amp;product=mtgo-top8&amp;week=2026-W33&amp;detail=12851665%3A7&amp;lang=zh</x:t>
  </x:si>
  <x:si>
    <x:t xml:space="preserve">acelerado440</x:t>
  </x:si>
  <x:si>
    <x:t xml:space="preserve">deck:59539b980d0a33286924</x:t>
  </x:si>
  <x:si>
    <x:t xml:space="preserve">Esper Blink · acelerado440 · 第8名</x:t>
  </x:si>
  <x:si>
    <x:t xml:space="preserve">Esper Blink · acelerado440 · Rank 8</x:t>
  </x:si>
  <x:si>
    <x:t xml:space="preserve">https://jacelber.github.io/mtgo-data/index.html?format=modern&amp;product=mtgo-top8&amp;week=2026-W33&amp;detail=12851665%3A8&amp;lang=zh</x:t>
  </x:si>
  <x:si>
    <x:t xml:space="preserve">Modern Challenge 64 · 12851672</x:t>
  </x:si>
  <x:si>
    <x:t xml:space="preserve">E90_DeliveryBoy</x:t>
  </x:si>
  <x:si>
    <x:t xml:space="preserve">deck:43c7848e49547d6cda26</x:t>
  </x:si>
  <x:si>
    <x:t xml:space="preserve">Mono-Blue Belcher · E90_DeliveryBoy · 第1名</x:t>
  </x:si>
  <x:si>
    <x:t xml:space="preserve">Mono-Blue Belcher · E90_DeliveryBoy · Rank 1</x:t>
  </x:si>
  <x:si>
    <x:t xml:space="preserve">https://jacelber.github.io/mtgo-data/index.html?format=modern&amp;product=mtgo-top8&amp;week=2026-W33&amp;detail=12851672%3A1&amp;lang=zh</x:t>
  </x:si>
  <x:si>
    <x:t xml:space="preserve">niuwaid001</x:t>
  </x:si>
  <x:si>
    <x:t xml:space="preserve">deck:cd4afbb1c984e8cd97ac</x:t>
  </x:si>
  <x:si>
    <x:t xml:space="preserve">Living End · niuwaid001 · 第2名</x:t>
  </x:si>
  <x:si>
    <x:t xml:space="preserve">Living End · niuwaid001 · Rank 2</x:t>
  </x:si>
  <x:si>
    <x:t xml:space="preserve">https://jacelber.github.io/mtgo-data/index.html?format=modern&amp;product=mtgo-top8&amp;week=2026-W33&amp;detail=12851672%3A2&amp;lang=zh</x:t>
  </x:si>
  <x:si>
    <x:t xml:space="preserve">deck:8d72e89ee8fe0e5063bb</x:t>
  </x:si>
  <x:si>
    <x:t xml:space="preserve">Eldrazi Tron · benbot9003 · 第3名</x:t>
  </x:si>
  <x:si>
    <x:t xml:space="preserve">Eldrazi Tron · benbot9003 · Rank 3</x:t>
  </x:si>
  <x:si>
    <x:t xml:space="preserve">https://jacelber.github.io/mtgo-data/index.html?format=modern&amp;product=mtgo-top8&amp;week=2026-W33&amp;detail=12851672%3A3&amp;lang=zh</x:t>
  </x:si>
  <x:si>
    <x:t xml:space="preserve">eclipse4343</x:t>
  </x:si>
  <x:si>
    <x:t xml:space="preserve">deck:e47adecc411155488012</x:t>
  </x:si>
  <x:si>
    <x:t xml:space="preserve">Chant Control · eclipse4343 · 第4名</x:t>
  </x:si>
  <x:si>
    <x:t xml:space="preserve">Chant Control · eclipse4343 · Rank 4</x:t>
  </x:si>
  <x:si>
    <x:t xml:space="preserve">https://jacelber.github.io/mtgo-data/index.html?format=modern&amp;product=mtgo-top8&amp;week=2026-W33&amp;detail=12851672%3A4&amp;lang=zh</x:t>
  </x:si>
  <x:si>
    <x:t xml:space="preserve">jussupinator</x:t>
  </x:si>
  <x:si>
    <x:t xml:space="preserve">deck:e50fa1a3f7f0929dec36</x:t>
  </x:si>
  <x:si>
    <x:t xml:space="preserve">Esper Goryo's · jussupinator · 第5名</x:t>
  </x:si>
  <x:si>
    <x:t xml:space="preserve">Esper Goryo's · jussupinator · Rank 5</x:t>
  </x:si>
  <x:si>
    <x:t xml:space="preserve">https://jacelber.github.io/mtgo-data/index.html?format=modern&amp;product=mtgo-top8&amp;week=2026-W33&amp;detail=12851672%3A5&amp;lang=zh</x:t>
  </x:si>
  <x:si>
    <x:t xml:space="preserve">deck:1d1257331d67fe790037</x:t>
  </x:si>
  <x:si>
    <x:t xml:space="preserve">Eldrazi Ramp · manohito · 第6名</x:t>
  </x:si>
  <x:si>
    <x:t xml:space="preserve">Eldrazi Ramp · manohito · Rank 6</x:t>
  </x:si>
  <x:si>
    <x:t xml:space="preserve">https://jacelber.github.io/mtgo-data/index.html?format=modern&amp;product=mtgo-top8&amp;week=2026-W33&amp;detail=12851672%3A6&amp;lang=zh</x:t>
  </x:si>
  <x:si>
    <x:t xml:space="preserve">emairi</x:t>
  </x:si>
  <x:si>
    <x:t xml:space="preserve">deck:7b3c4d462b8b1dad8292</x:t>
  </x:si>
  <x:si>
    <x:t xml:space="preserve">Prowess · emairi · 第7名</x:t>
  </x:si>
  <x:si>
    <x:t xml:space="preserve">Prowess · emairi · Rank 7</x:t>
  </x:si>
  <x:si>
    <x:t xml:space="preserve">https://jacelber.github.io/mtgo-data/index.html?format=modern&amp;product=mtgo-top8&amp;week=2026-W33&amp;detail=12851672%3A7&amp;lang=zh</x:t>
  </x:si>
  <x:si>
    <x:t xml:space="preserve">DrewEldon</x:t>
  </x:si>
  <x:si>
    <x:t xml:space="preserve">deck:a2c657854b07ee03f4c0</x:t>
  </x:si>
  <x:si>
    <x:t xml:space="preserve">Dimir Tempo · DrewEldon · 第8名</x:t>
  </x:si>
  <x:si>
    <x:t xml:space="preserve">Dimir Tempo · DrewEldon · Rank 8</x:t>
  </x:si>
  <x:si>
    <x:t xml:space="preserve">https://jacelber.github.io/mtgo-data/index.html?format=modern&amp;product=mtgo-top8&amp;week=2026-W33&amp;detail=12851672%3A8&amp;lang=zh</x:t>
  </x:si>
  <x:si>
    <x:t xml:space="preserve">Modern Challenge 64 · 12851676</x:t>
  </x:si>
  <x:si>
    <x:t xml:space="preserve">Xenowan</x:t>
  </x:si>
  <x:si>
    <x:t xml:space="preserve">deck:f2aecc4bf47962a54d65</x:t>
  </x:si>
  <x:si>
    <x:t xml:space="preserve">Hollowvine · Xenowan · 第1名</x:t>
  </x:si>
  <x:si>
    <x:t xml:space="preserve">Hollowvine · Xenowan · Rank 1</x:t>
  </x:si>
  <x:si>
    <x:t xml:space="preserve">https://jacelber.github.io/mtgo-data/index.html?format=modern&amp;product=mtgo-top8&amp;week=2026-W33&amp;detail=12851676%3A1&amp;lang=zh</x:t>
  </x:si>
  <x:si>
    <x:t xml:space="preserve">thodoris17</x:t>
  </x:si>
  <x:si>
    <x:t xml:space="preserve">deck:fb47b8f68e2c698653a7</x:t>
  </x:si>
  <x:si>
    <x:t xml:space="preserve">Esper Blink · thodoris17 · 第2名</x:t>
  </x:si>
  <x:si>
    <x:t xml:space="preserve">Esper Blink · thodoris17 · Rank 2</x:t>
  </x:si>
  <x:si>
    <x:t xml:space="preserve">https://jacelber.github.io/mtgo-data/index.html?format=modern&amp;product=mtgo-top8&amp;week=2026-W33&amp;detail=12851676%3A2&amp;lang=zh</x:t>
  </x:si>
  <x:si>
    <x:t xml:space="preserve">ryuumei</x:t>
  </x:si>
  <x:si>
    <x:t xml:space="preserve">deck:5531a2049df2d41f8fd4</x:t>
  </x:si>
  <x:si>
    <x:t xml:space="preserve">Domain Zoo · ryuumei · 第3名</x:t>
  </x:si>
  <x:si>
    <x:t xml:space="preserve">Domain Zoo · ryuumei · Rank 3</x:t>
  </x:si>
  <x:si>
    <x:t xml:space="preserve">https://jacelber.github.io/mtgo-data/index.html?format=modern&amp;product=mtgo-top8&amp;week=2026-W33&amp;detail=12851676%3A3&amp;lang=zh</x:t>
  </x:si>
  <x:si>
    <x:t xml:space="preserve">JahBoodle</x:t>
  </x:si>
  <x:si>
    <x:t xml:space="preserve">deck:395d0dd5c064a26a7bb2</x:t>
  </x:si>
  <x:si>
    <x:t xml:space="preserve">Esper Blink · JahBoodle · 第4名</x:t>
  </x:si>
  <x:si>
    <x:t xml:space="preserve">Esper Blink · JahBoodle · Rank 4</x:t>
  </x:si>
  <x:si>
    <x:t xml:space="preserve">https://jacelber.github.io/mtgo-data/index.html?format=modern&amp;product=mtgo-top8&amp;week=2026-W33&amp;detail=12851676%3A4&amp;lang=zh</x:t>
  </x:si>
  <x:si>
    <x:t xml:space="preserve">deck:04357c85bf0bbeb4cc97</x:t>
  </x:si>
  <x:si>
    <x:t xml:space="preserve">Necrodominance · SanPop · 第5名</x:t>
  </x:si>
  <x:si>
    <x:t xml:space="preserve">Necrodominance · SanPop · Rank 5</x:t>
  </x:si>
  <x:si>
    <x:t xml:space="preserve">https://jacelber.github.io/mtgo-data/index.html?format=modern&amp;product=mtgo-top8&amp;week=2026-W33&amp;detail=12851676%3A5&amp;lang=zh</x:t>
  </x:si>
  <x:si>
    <x:t xml:space="preserve">deck:b469b4b0f3300b68982c</x:t>
  </x:si>
  <x:si>
    <x:t xml:space="preserve">Esper Blink · acelerado440 · 第6名</x:t>
  </x:si>
  <x:si>
    <x:t xml:space="preserve">Esper Blink · acelerado440 · Rank 6</x:t>
  </x:si>
  <x:si>
    <x:t xml:space="preserve">https://jacelber.github.io/mtgo-data/index.html?format=modern&amp;product=mtgo-top8&amp;week=2026-W33&amp;detail=12851676%3A6&amp;lang=zh</x:t>
  </x:si>
  <x:si>
    <x:t xml:space="preserve">Oculus Ritual</x:t>
  </x:si>
  <x:si>
    <x:t xml:space="preserve">STURSY</x:t>
  </x:si>
  <x:si>
    <x:t xml:space="preserve">deck:f8f65d8ddfb4b9a24d95</x:t>
  </x:si>
  <x:si>
    <x:t xml:space="preserve">Oculus Ritual · STURSY · 第7名</x:t>
  </x:si>
  <x:si>
    <x:t xml:space="preserve">Oculus Ritual · STURSY · Rank 7</x:t>
  </x:si>
  <x:si>
    <x:t xml:space="preserve">https://jacelber.github.io/mtgo-data/index.html?format=modern&amp;product=mtgo-top8&amp;week=2026-W33&amp;detail=12851676%3A7&amp;lang=zh</x:t>
  </x:si>
  <x:si>
    <x:t xml:space="preserve">Grixis Persist</x:t>
  </x:si>
  <x:si>
    <x:t xml:space="preserve">yolad</x:t>
  </x:si>
  <x:si>
    <x:t xml:space="preserve">deck:b4641538f76eae8b4f50</x:t>
  </x:si>
  <x:si>
    <x:t xml:space="preserve">Grixis Persist · yolad · 第8名</x:t>
  </x:si>
  <x:si>
    <x:t xml:space="preserve">Grixis Persist · yolad · Rank 8</x:t>
  </x:si>
  <x:si>
    <x:t xml:space="preserve">https://jacelber.github.io/mtgo-data/index.html?format=modern&amp;product=mtgo-top8&amp;week=2026-W33&amp;detail=12851676%3A8&amp;lang=zh</x:t>
  </x:si>
</x:sst>
</file>

<file path=xl/styles.xml><?xml version="1.0" encoding="utf-8"?>
<x:styleSheet xmlns:x="http://schemas.openxmlformats.org/spreadsheetml/2006/main">
  <x:numFmts count="4">
    <x:numFmt numFmtId="43" formatCode="_ * #,##0.00_ ;_ * \-#,##0.00_ ;_ * &quot;-&quot;??_ ;_ @_ "/>
    <x:numFmt numFmtId="176" formatCode="_ * #,##0_ ;_ * \-#,##0_ ;_ * &quot;-&quot;??_ ;_ @_ "/>
    <x:numFmt numFmtId="177" formatCode="_-&quot;\&quot;* #,##0_-\ ;\-&quot;\&quot;* #,##0_-\ ;_-&quot;\&quot;* &quot;-&quot;??_-\ ;_-@_-"/>
    <x:numFmt numFmtId="178" formatCode="_-&quot;\&quot;* #,##0.00_-\ ;\-&quot;\&quot;* #,##0.00_-\ ;_-&quot;\&quot;* &quot;-&quot;??_-\ ;_-@_-"/>
  </x:numFmts>
  <x:fonts count="30">
    <x:font>
      <x:sz val="11"/>
      <x:name val="Carlito"/>
    </x:font>
    <x:font>
      <x:b/>
      <x:sz val="15"/>
      <x:color rgb="FFFFFFFF"/>
      <x:name val="Carlito"/>
    </x:font>
    <x:font>
      <x:i/>
      <x:sz val="10"/>
      <x:color rgb="FF1F2937"/>
      <x:name val="Carlito"/>
    </x:font>
    <x:font>
      <x:b/>
      <x:sz val="10"/>
      <x:color rgb="FFFFFFFF"/>
      <x:name val="Carlito"/>
    </x:font>
    <x:font>
      <x:sz val="10"/>
      <x:color rgb="FF1F2937"/>
      <x:name val="Carlito"/>
    </x:font>
    <x:font>
      <x:sz val="10"/>
      <x:color rgb="FF1F2937"/>
      <x:name val="宋体"/>
    </x:font>
    <x:font>
      <x:b/>
      <x:sz val="13"/>
      <x:color rgb="FFFFFFFF"/>
      <x:name val="Carlito"/>
    </x:font>
    <x:font>
      <x:i/>
      <x:sz val="11"/>
      <x:color rgb="FF1F2937"/>
      <x:name val="Carlito"/>
    </x:font>
    <x:font>
      <x:b/>
      <x:sz val="11"/>
      <x:color rgb="FFFFFFFF"/>
      <x:name val="Carlito"/>
    </x:font>
    <x:font>
      <x:sz val="11"/>
      <x:color theme="1"/>
      <x:name val="Calibri"/>
    </x:font>
    <x:font>
      <x:sz val="11"/>
      <x:color rgb="FF0000FF"/>
      <x:name val="Calibri"/>
    </x:font>
    <x:font>
      <x:sz val="11"/>
      <x:color rgb="FF800080"/>
      <x:name val="Calibri"/>
    </x:font>
    <x:font>
      <x:sz val="11"/>
      <x:color rgb="FFFF0000"/>
      <x:name val="Calibri"/>
    </x:font>
    <x:font>
      <x:b/>
      <x:sz val="18"/>
      <x:color theme="3"/>
      <x:name val="Calibri"/>
    </x:font>
    <x:font>
      <x:i/>
      <x:sz val="11"/>
      <x:color rgb="FF7F7F7F"/>
      <x:name val="Calibri"/>
    </x:font>
    <x:font>
      <x:b/>
      <x:sz val="15"/>
      <x:color theme="3"/>
      <x:name val="Calibri"/>
    </x:font>
    <x:font>
      <x:b/>
      <x:sz val="13"/>
      <x:color theme="3"/>
      <x:name val="Calibri"/>
    </x:font>
    <x:font>
      <x:b/>
      <x:sz val="11"/>
      <x:color theme="3"/>
      <x:name val="Calibri"/>
    </x:font>
    <x:font>
      <x:sz val="11"/>
      <x:color rgb="FF3F3F76"/>
      <x:name val="Calibri"/>
    </x:font>
    <x:font>
      <x:b/>
      <x:sz val="11"/>
      <x:color rgb="FF3F3F3F"/>
      <x:name val="Calibri"/>
    </x:font>
    <x:font>
      <x:b/>
      <x:sz val="11"/>
      <x:color rgb="FFFA7D00"/>
      <x:name val="Calibri"/>
    </x:font>
    <x:font>
      <x:b/>
      <x:sz val="11"/>
      <x:color rgb="FFFFFFFF"/>
      <x:name val="Calibri"/>
    </x:font>
    <x:font>
      <x:sz val="11"/>
      <x:color rgb="FFFA7D00"/>
      <x:name val="Calibri"/>
    </x:font>
    <x:font>
      <x:b/>
      <x:sz val="11"/>
      <x:color theme="1"/>
      <x:name val="Calibri"/>
    </x:font>
    <x:font>
      <x:sz val="11"/>
      <x:color rgb="FF006100"/>
      <x:name val="Calibri"/>
    </x:font>
    <x:font>
      <x:sz val="11"/>
      <x:color rgb="FF9C0006"/>
      <x:name val="Calibri"/>
    </x:font>
    <x:font>
      <x:sz val="11"/>
      <x:color rgb="FF9C6500"/>
      <x:name val="Calibri"/>
    </x:font>
    <x:font>
      <x:sz val="11"/>
      <x:color theme="0"/>
      <x:name val="Calibri"/>
    </x:font>
    <x:font>
      <x:sz val="1000"/>
      <x:color rgb="FF1F2937"/>
      <x:name val="宋体"/>
    </x:font>
    <x:font>
      <x:sz val="1000"/>
      <x:color rgb="FF1F2937"/>
      <x:name val="Carlito"/>
    </x:font>
  </x:fonts>
  <x:fills count="49">
    <x:fill>
      <x:patternFill patternType="none"/>
    </x:fill>
    <x:fill>
      <x:patternFill patternType="gray125"/>
    </x:fill>
    <x:fill>
      <x:patternFill patternType="solid">
        <x:fgColor rgb="FF17365D"/>
      </x:patternFill>
    </x:fill>
    <x:fill>
      <x:patternFill patternType="solid">
        <x:fgColor rgb="FFFCE4D6"/>
      </x:patternFill>
    </x:fill>
    <x:fill>
      <x:patternFill patternType="solid">
        <x:fgColor rgb="FF1F4E78"/>
      </x:patternFill>
    </x:fill>
    <x:fill>
      <x:patternFill patternType="solid">
        <x:fgColor rgb="FFFFFFFF"/>
      </x:patternFill>
    </x:fill>
    <x:fill>
      <x:patternFill patternType="solid">
        <x:fgColor rgb="FFFFF2CC"/>
      </x:patternFill>
    </x:fill>
    <x:fill>
      <x:patternFill patternType="solid">
        <x:fgColor rgb="FFDDEBF7"/>
      </x:patternFill>
    </x:fill>
    <x:fill>
      <x:patternFill patternType="solid">
        <x:fgColor rgb="FFE2F0D9"/>
      </x:patternFill>
    </x:fill>
    <x:fill>
      <x:patternFill patternType="solid">
        <x:fgColor rgb="FFE7E6E6"/>
      </x:patternFill>
    </x:fill>
    <x:fill>
      <x:patternFill patternType="solid">
        <x:fgColor rgb="FFFFFFCC"/>
      </x:patternFill>
    </x:fill>
    <x:fill>
      <x:patternFill patternType="solid">
        <x:fgColor rgb="FFFFCC99"/>
      </x:patternFill>
    </x:fill>
    <x:fill>
      <x:patternFill patternType="solid">
        <x:fgColor rgb="FFF2F2F2"/>
      </x:patternFill>
    </x:fill>
    <x:fill>
      <x:patternFill patternType="solid">
        <x:fgColor rgb="FFA5A5A5"/>
      </x:patternFill>
    </x:fill>
    <x:fill>
      <x:patternFill patternType="solid">
        <x:fgColor rgb="FFC6EFCE"/>
      </x:patternFill>
    </x:fill>
    <x:fill>
      <x:patternFill patternType="solid">
        <x:fgColor rgb="FFFFC7CE"/>
      </x:patternFill>
    </x:fill>
    <x:fill>
      <x:patternFill patternType="solid">
        <x:fgColor rgb="FFFFEB9C"/>
      </x:patternFill>
    </x:fill>
    <x:fill>
      <x:patternFill patternType="solid">
        <x:fgColor theme="4"/>
      </x:patternFill>
    </x:fill>
    <x:fill>
      <x:patternFill patternType="solid">
        <x:fgColor theme="4" tint="0.79998"/>
      </x:patternFill>
    </x:fill>
    <x:fill>
      <x:patternFill patternType="solid">
        <x:fgColor theme="4" tint="0.59999"/>
      </x:patternFill>
    </x:fill>
    <x:fill>
      <x:patternFill patternType="solid">
        <x:fgColor theme="4" tint="0.39998"/>
      </x:patternFill>
    </x:fill>
    <x:fill>
      <x:patternFill patternType="solid">
        <x:fgColor theme="5"/>
      </x:patternFill>
    </x:fill>
    <x:fill>
      <x:patternFill patternType="solid">
        <x:fgColor theme="5" tint="0.79998"/>
      </x:patternFill>
    </x:fill>
    <x:fill>
      <x:patternFill patternType="solid">
        <x:fgColor theme="5" tint="0.59999"/>
      </x:patternFill>
    </x:fill>
    <x:fill>
      <x:patternFill patternType="solid">
        <x:fgColor theme="5" tint="0.39998"/>
      </x:patternFill>
    </x:fill>
    <x:fill>
      <x:patternFill patternType="solid">
        <x:fgColor theme="6"/>
      </x:patternFill>
    </x:fill>
    <x:fill>
      <x:patternFill patternType="solid">
        <x:fgColor theme="6" tint="0.79998"/>
      </x:patternFill>
    </x:fill>
    <x:fill>
      <x:patternFill patternType="solid">
        <x:fgColor theme="6" tint="0.59999"/>
      </x:patternFill>
    </x:fill>
    <x:fill>
      <x:patternFill patternType="solid">
        <x:fgColor theme="6" tint="0.39998"/>
      </x:patternFill>
    </x:fill>
    <x:fill>
      <x:patternFill patternType="solid">
        <x:fgColor theme="7"/>
      </x:patternFill>
    </x:fill>
    <x:fill>
      <x:patternFill patternType="solid">
        <x:fgColor theme="7" tint="0.79998"/>
      </x:patternFill>
    </x:fill>
    <x:fill>
      <x:patternFill patternType="solid">
        <x:fgColor theme="7" tint="0.59999"/>
      </x:patternFill>
    </x:fill>
    <x:fill>
      <x:patternFill patternType="solid">
        <x:fgColor theme="7" tint="0.39998"/>
      </x:patternFill>
    </x:fill>
    <x:fill>
      <x:patternFill patternType="solid">
        <x:fgColor theme="8"/>
      </x:patternFill>
    </x:fill>
    <x:fill>
      <x:patternFill patternType="solid">
        <x:fgColor theme="8" tint="0.79998"/>
      </x:patternFill>
    </x:fill>
    <x:fill>
      <x:patternFill patternType="solid">
        <x:fgColor theme="8" tint="0.59999"/>
      </x:patternFill>
    </x:fill>
    <x:fill>
      <x:patternFill patternType="solid">
        <x:fgColor theme="8" tint="0.39998"/>
      </x:patternFill>
    </x:fill>
    <x:fill>
      <x:patternFill patternType="solid">
        <x:fgColor theme="9"/>
      </x:patternFill>
    </x:fill>
    <x:fill>
      <x:patternFill patternType="solid">
        <x:fgColor theme="9" tint="0.79998"/>
      </x:patternFill>
    </x:fill>
    <x:fill>
      <x:patternFill patternType="solid">
        <x:fgColor theme="9" tint="0.59999"/>
      </x:patternFill>
    </x:fill>
    <x:fill>
      <x:patternFill patternType="solid">
        <x:fgColor theme="9" tint="0.39998"/>
      </x:patternFill>
    </x:fill>
    <x:fill>
      <x:patternFill patternType="solid">
        <x:fgColor rgb="FF17324D"/>
      </x:patternFill>
    </x:fill>
    <x:fill>
      <x:patternFill patternType="solid">
        <x:fgColor rgb="FFFCE4D6"/>
      </x:patternFill>
    </x:fill>
    <x:fill>
      <x:patternFill patternType="solid">
        <x:fgColor rgb="FF244A66"/>
      </x:patternFill>
    </x:fill>
    <x:fill>
      <x:patternFill patternType="solid">
        <x:fgColor rgb="FFFFF2CC"/>
      </x:patternFill>
    </x:fill>
    <x:fill>
      <x:patternFill patternType="solid">
        <x:fgColor rgb="FFDDEBF7"/>
      </x:patternFill>
    </x:fill>
    <x:fill>
      <x:patternFill patternType="solid">
        <x:fgColor rgb="FFE7E6E6"/>
      </x:patternFill>
    </x:fill>
    <x:fill>
      <x:patternFill patternType="solid">
        <x:fgColor rgb="FFE2F0D9"/>
      </x:patternFill>
    </x:fill>
    <x:fill>
      <x:patternFill patternType="solid">
        <x:fgColor rgb="FFFFFFFF"/>
      </x:patternFill>
    </x:fill>
  </x:fills>
  <x:borders count="10">
    <x:border/>
    <x:border>
      <x:left style="thin">
        <x:color rgb="FFB7C9D6"/>
      </x:left>
      <x:right style="thin">
        <x:color rgb="FFB7C9D6"/>
      </x:right>
      <x:top style="thin">
        <x:color rgb="FFB7C9D6"/>
      </x:top>
      <x:bottom style="thin">
        <x:color rgb="FFB7C9D6"/>
      </x:bottom>
    </x:border>
    <x:border>
      <x:left style="thin">
        <x:color rgb="FFB2B2B2"/>
      </x:left>
      <x:right style="thin">
        <x:color rgb="FFB2B2B2"/>
      </x:right>
      <x:top style="thin">
        <x:color rgb="FFB2B2B2"/>
      </x:top>
      <x:bottom style="thin">
        <x:color rgb="FFB2B2B2"/>
      </x:bottom>
    </x:border>
    <x:border>
      <x:bottom style="medium">
        <x:color theme="4"/>
      </x:bottom>
    </x:border>
    <x:border>
      <x:bottom style="medium">
        <x:color theme="4" tint="0.49998"/>
      </x:bottom>
    </x:border>
    <x:border>
      <x:left style="thin">
        <x:color rgb="FF7F7F7F"/>
      </x:left>
      <x:right style="thin">
        <x:color rgb="FF7F7F7F"/>
      </x:right>
      <x:top style="thin">
        <x:color rgb="FF7F7F7F"/>
      </x:top>
      <x:bottom style="thin">
        <x:color rgb="FF7F7F7F"/>
      </x:bottom>
    </x:border>
    <x:border>
      <x:left style="thin">
        <x:color rgb="FF3F3F3F"/>
      </x:left>
      <x:right style="thin">
        <x:color rgb="FF3F3F3F"/>
      </x:right>
      <x:top style="thin">
        <x:color rgb="FF3F3F3F"/>
      </x:top>
      <x:bottom style="thin">
        <x:color rgb="FF3F3F3F"/>
      </x:bottom>
    </x:border>
    <x:border>
      <x:left style="double">
        <x:color rgb="FF3F3F3F"/>
      </x:left>
      <x:right style="double">
        <x:color rgb="FF3F3F3F"/>
      </x:right>
      <x:top style="double">
        <x:color rgb="FF3F3F3F"/>
      </x:top>
      <x:bottom style="double">
        <x:color rgb="FF3F3F3F"/>
      </x:bottom>
    </x:border>
    <x:border>
      <x:bottom style="double">
        <x:color rgb="FFFF8001"/>
      </x:bottom>
    </x:border>
    <x:border>
      <x:top style="thin">
        <x:color theme="4"/>
      </x:top>
      <x:bottom style="double">
        <x:color theme="4"/>
      </x:bottom>
    </x:border>
  </x:borders>
  <x:cellStyleXfs count="50">
    <x:xf numFmtId="0" fontId="0" fillId="0" borderId="0">
      <x:alignment vertical="center"/>
    </x:xf>
    <x:xf numFmtId="176" fontId="9" fillId="0" borderId="0" applyFont="0" applyFill="0" applyBorder="0" applyAlignment="0" applyProtection="0">
      <x:alignment vertical="center"/>
    </x:xf>
    <x:xf numFmtId="177" fontId="9" fillId="0" borderId="0" applyFont="0" applyFill="0" applyBorder="0" applyAlignment="0" applyProtection="0">
      <x:alignment vertical="center"/>
    </x:xf>
    <x:xf numFmtId="9" fontId="9" fillId="0" borderId="0" applyFont="0" applyFill="0" applyBorder="0" applyAlignment="0" applyProtection="0">
      <x:alignment vertical="center"/>
    </x:xf>
    <x:xf numFmtId="43" fontId="9" fillId="0" borderId="0" applyFont="0" applyFill="0" applyBorder="0" applyAlignment="0" applyProtection="0">
      <x:alignment vertical="center"/>
    </x:xf>
    <x:xf numFmtId="178" fontId="9" fillId="0" borderId="0" applyFont="0" applyFill="0" applyBorder="0" applyAlignment="0" applyProtection="0">
      <x:alignment vertical="center"/>
    </x:xf>
    <x:xf numFmtId="0" fontId="10" fillId="0" borderId="0" applyNumberFormat="0" applyFill="0" applyBorder="0" applyAlignment="0" applyProtection="0">
      <x:alignment vertical="center"/>
    </x:xf>
    <x:xf numFmtId="0" fontId="11" fillId="0" borderId="0" applyNumberFormat="0" applyFill="0" applyBorder="0" applyAlignment="0" applyProtection="0">
      <x:alignment vertical="center"/>
    </x:xf>
    <x:xf numFmtId="0" fontId="9" fillId="10" borderId="2" applyNumberFormat="0" applyFont="0" applyAlignment="0" applyProtection="0">
      <x:alignment vertical="center"/>
    </x:xf>
    <x:xf numFmtId="0" fontId="12" fillId="0" borderId="0" applyNumberFormat="0" applyFill="0" applyBorder="0" applyAlignment="0" applyProtection="0">
      <x:alignment vertical="center"/>
    </x:xf>
    <x:xf numFmtId="0" fontId="13" fillId="0" borderId="0" applyNumberFormat="0" applyFill="0" applyBorder="0" applyAlignment="0" applyProtection="0">
      <x:alignment vertical="center"/>
    </x:xf>
    <x:xf numFmtId="0" fontId="14" fillId="0" borderId="0" applyNumberFormat="0" applyFill="0" applyBorder="0" applyAlignment="0" applyProtection="0">
      <x:alignment vertical="center"/>
    </x:xf>
    <x:xf numFmtId="0" fontId="15" fillId="0" borderId="3" applyNumberFormat="0" applyFill="0" applyAlignment="0" applyProtection="0">
      <x:alignment vertical="center"/>
    </x:xf>
    <x:xf numFmtId="0" fontId="16" fillId="0" borderId="3" applyNumberFormat="0" applyFill="0" applyAlignment="0" applyProtection="0">
      <x:alignment vertical="center"/>
    </x:xf>
    <x:xf numFmtId="0" fontId="17" fillId="0" borderId="4" applyNumberFormat="0" applyFill="0" applyAlignment="0" applyProtection="0">
      <x:alignment vertical="center"/>
    </x:xf>
    <x:xf numFmtId="0" fontId="17" fillId="0" borderId="0" applyNumberFormat="0" applyFill="0" applyBorder="0" applyAlignment="0" applyProtection="0">
      <x:alignment vertical="center"/>
    </x:xf>
    <x:xf numFmtId="0" fontId="18" fillId="11" borderId="5" applyNumberFormat="0" applyAlignment="0" applyProtection="0">
      <x:alignment vertical="center"/>
    </x:xf>
    <x:xf numFmtId="0" fontId="19" fillId="12" borderId="6" applyNumberFormat="0" applyAlignment="0" applyProtection="0">
      <x:alignment vertical="center"/>
    </x:xf>
    <x:xf numFmtId="0" fontId="20" fillId="12" borderId="5" applyNumberFormat="0" applyAlignment="0" applyProtection="0">
      <x:alignment vertical="center"/>
    </x:xf>
    <x:xf numFmtId="0" fontId="21" fillId="13" borderId="7" applyNumberFormat="0" applyAlignment="0" applyProtection="0">
      <x:alignment vertical="center"/>
    </x:xf>
    <x:xf numFmtId="0" fontId="22" fillId="0" borderId="8" applyNumberFormat="0" applyFill="0" applyAlignment="0" applyProtection="0">
      <x:alignment vertical="center"/>
    </x:xf>
    <x:xf numFmtId="0" fontId="23" fillId="0" borderId="9" applyNumberFormat="0" applyFill="0" applyAlignment="0" applyProtection="0">
      <x:alignment vertical="center"/>
    </x:xf>
    <x:xf numFmtId="0" fontId="24" fillId="14" borderId="0" applyNumberFormat="0" applyBorder="0" applyAlignment="0" applyProtection="0">
      <x:alignment vertical="center"/>
    </x:xf>
    <x:xf numFmtId="0" fontId="25" fillId="15" borderId="0" applyNumberFormat="0" applyBorder="0" applyAlignment="0" applyProtection="0">
      <x:alignment vertical="center"/>
    </x:xf>
    <x:xf numFmtId="0" fontId="26" fillId="16" borderId="0" applyNumberFormat="0" applyBorder="0" applyAlignment="0" applyProtection="0">
      <x:alignment vertical="center"/>
    </x:xf>
    <x:xf numFmtId="0" fontId="27" fillId="17" borderId="0" applyNumberFormat="0" applyBorder="0" applyAlignment="0" applyProtection="0">
      <x:alignment vertical="center"/>
    </x:xf>
    <x:xf numFmtId="0" fontId="9" fillId="18" borderId="0" applyNumberFormat="0" applyBorder="0" applyAlignment="0" applyProtection="0">
      <x:alignment vertical="center"/>
    </x:xf>
    <x:xf numFmtId="0" fontId="9" fillId="19" borderId="0" applyNumberFormat="0" applyBorder="0" applyAlignment="0" applyProtection="0">
      <x:alignment vertical="center"/>
    </x:xf>
    <x:xf numFmtId="0" fontId="27" fillId="20" borderId="0" applyNumberFormat="0" applyBorder="0" applyAlignment="0" applyProtection="0">
      <x:alignment vertical="center"/>
    </x:xf>
    <x:xf numFmtId="0" fontId="27" fillId="21" borderId="0" applyNumberFormat="0" applyBorder="0" applyAlignment="0" applyProtection="0">
      <x:alignment vertical="center"/>
    </x:xf>
    <x:xf numFmtId="0" fontId="9" fillId="22" borderId="0" applyNumberFormat="0" applyBorder="0" applyAlignment="0" applyProtection="0">
      <x:alignment vertical="center"/>
    </x:xf>
    <x:xf numFmtId="0" fontId="9" fillId="23" borderId="0" applyNumberFormat="0" applyBorder="0" applyAlignment="0" applyProtection="0">
      <x:alignment vertical="center"/>
    </x:xf>
    <x:xf numFmtId="0" fontId="27" fillId="24" borderId="0" applyNumberFormat="0" applyBorder="0" applyAlignment="0" applyProtection="0">
      <x:alignment vertical="center"/>
    </x:xf>
    <x:xf numFmtId="0" fontId="27" fillId="25" borderId="0" applyNumberFormat="0" applyBorder="0" applyAlignment="0" applyProtection="0">
      <x:alignment vertical="center"/>
    </x:xf>
    <x:xf numFmtId="0" fontId="9" fillId="26" borderId="0" applyNumberFormat="0" applyBorder="0" applyAlignment="0" applyProtection="0">
      <x:alignment vertical="center"/>
    </x:xf>
    <x:xf numFmtId="0" fontId="9" fillId="27" borderId="0" applyNumberFormat="0" applyBorder="0" applyAlignment="0" applyProtection="0">
      <x:alignment vertical="center"/>
    </x:xf>
    <x:xf numFmtId="0" fontId="27" fillId="28" borderId="0" applyNumberFormat="0" applyBorder="0" applyAlignment="0" applyProtection="0">
      <x:alignment vertical="center"/>
    </x:xf>
    <x:xf numFmtId="0" fontId="27" fillId="29" borderId="0" applyNumberFormat="0" applyBorder="0" applyAlignment="0" applyProtection="0">
      <x:alignment vertical="center"/>
    </x:xf>
    <x:xf numFmtId="0" fontId="9" fillId="30" borderId="0" applyNumberFormat="0" applyBorder="0" applyAlignment="0" applyProtection="0">
      <x:alignment vertical="center"/>
    </x:xf>
    <x:xf numFmtId="0" fontId="9" fillId="31" borderId="0" applyNumberFormat="0" applyBorder="0" applyAlignment="0" applyProtection="0">
      <x:alignment vertical="center"/>
    </x:xf>
    <x:xf numFmtId="0" fontId="27" fillId="32" borderId="0" applyNumberFormat="0" applyBorder="0" applyAlignment="0" applyProtection="0">
      <x:alignment vertical="center"/>
    </x:xf>
    <x:xf numFmtId="0" fontId="27" fillId="33" borderId="0" applyNumberFormat="0" applyBorder="0" applyAlignment="0" applyProtection="0">
      <x:alignment vertical="center"/>
    </x:xf>
    <x:xf numFmtId="0" fontId="9" fillId="34" borderId="0" applyNumberFormat="0" applyBorder="0" applyAlignment="0" applyProtection="0">
      <x:alignment vertical="center"/>
    </x:xf>
    <x:xf numFmtId="0" fontId="9" fillId="35" borderId="0" applyNumberFormat="0" applyBorder="0" applyAlignment="0" applyProtection="0">
      <x:alignment vertical="center"/>
    </x:xf>
    <x:xf numFmtId="0" fontId="27" fillId="36" borderId="0" applyNumberFormat="0" applyBorder="0" applyAlignment="0" applyProtection="0">
      <x:alignment vertical="center"/>
    </x:xf>
    <x:xf numFmtId="0" fontId="27" fillId="37" borderId="0" applyNumberFormat="0" applyBorder="0" applyAlignment="0" applyProtection="0">
      <x:alignment vertical="center"/>
    </x:xf>
    <x:xf numFmtId="0" fontId="9" fillId="38" borderId="0" applyNumberFormat="0" applyBorder="0" applyAlignment="0" applyProtection="0">
      <x:alignment vertical="center"/>
    </x:xf>
    <x:xf numFmtId="0" fontId="9" fillId="39" borderId="0" applyNumberFormat="0" applyBorder="0" applyAlignment="0" applyProtection="0">
      <x:alignment vertical="center"/>
    </x:xf>
    <x:xf numFmtId="0" fontId="27" fillId="40" borderId="0" applyNumberFormat="0" applyBorder="0" applyAlignment="0" applyProtection="0">
      <x:alignment vertical="center"/>
    </x:xf>
    <x:xf numFmtId="0" fontId="0" fillId="0" borderId="0"/>
  </x:cellStyleXfs>
  <x:cellXfs count="36">
    <x:xf numFmtId="0" fontId="0" fillId="0" borderId="0" xfId="49"/>
    <x:xf numFmtId="0" fontId="1" fillId="2" borderId="0" xfId="49" applyNumberFormat="1" applyFont="1" applyFill="1" applyBorder="1" applyAlignment="1">
      <x:alignment vertical="center" wrapText="1"/>
    </x:xf>
    <x:xf numFmtId="0" fontId="2" fillId="3" borderId="0" xfId="49" applyNumberFormat="1" applyFont="1" applyFill="1" applyBorder="1" applyAlignment="1">
      <x:alignment vertical="center" wrapText="1"/>
    </x:xf>
    <x:xf numFmtId="0" fontId="3" fillId="4" borderId="1" xfId="49" applyNumberFormat="1" applyFont="1" applyFill="1" applyBorder="1" applyAlignment="1">
      <x:alignment horizontal="center" vertical="center" wrapText="1"/>
    </x:xf>
    <x:xf numFmtId="0" fontId="4" fillId="5" borderId="1" xfId="49" applyNumberFormat="1" applyFont="1" applyFill="1" applyBorder="1" applyAlignment="1">
      <x:alignment vertical="top" wrapText="1"/>
    </x:xf>
    <x:xf numFmtId="0" fontId="4" fillId="6" borderId="1" xfId="49" applyNumberFormat="1" applyFont="1" applyFill="1" applyBorder="1" applyAlignment="1">
      <x:alignment vertical="top" wrapText="1"/>
    </x:xf>
    <x:xf numFmtId="0" fontId="4" fillId="7" borderId="1" xfId="49" applyNumberFormat="1" applyFont="1" applyFill="1" applyBorder="1" applyAlignment="1">
      <x:alignment vertical="top" wrapText="1"/>
    </x:xf>
    <x:xf numFmtId="0" fontId="4" fillId="8" borderId="1" xfId="49" applyNumberFormat="1" applyFont="1" applyFill="1" applyBorder="1" applyAlignment="1">
      <x:alignment vertical="top" wrapText="1"/>
    </x:xf>
    <x:xf numFmtId="0" fontId="4" fillId="9" borderId="1" xfId="49" applyNumberFormat="1" applyFont="1" applyFill="1" applyBorder="1" applyAlignment="1">
      <x:alignment vertical="top" wrapText="1"/>
    </x:xf>
    <x:xf numFmtId="0" fontId="5" fillId="6" borderId="1" xfId="49" applyNumberFormat="1" applyFont="1" applyFill="1" applyBorder="1" applyAlignment="1">
      <x:alignment vertical="top" wrapText="1"/>
    </x:xf>
    <x:xf numFmtId="0" fontId="4" fillId="6" borderId="1" xfId="0" applyNumberFormat="1" applyFont="1" applyFill="1" applyBorder="1" applyAlignment="1">
      <x:alignment vertical="top" wrapText="1"/>
    </x:xf>
    <x:xf numFmtId="0" fontId="4" fillId="7" borderId="1" xfId="0" applyNumberFormat="1" applyFont="1" applyFill="1" applyBorder="1" applyAlignment="1">
      <x:alignment vertical="top" wrapText="1"/>
    </x:xf>
    <x:xf numFmtId="0" fontId="4" fillId="8" borderId="1" xfId="0" applyNumberFormat="1" applyFont="1" applyFill="1" applyBorder="1" applyAlignment="1">
      <x:alignment vertical="top" wrapText="1"/>
    </x:xf>
    <x:xf numFmtId="0" fontId="4" fillId="9" borderId="1" xfId="0" applyNumberFormat="1" applyFont="1" applyFill="1" applyBorder="1" applyAlignment="1">
      <x:alignment vertical="top" wrapText="1"/>
    </x:xf>
    <x:xf numFmtId="0" fontId="6" fillId="2" borderId="0" xfId="49" applyNumberFormat="1" applyFont="1" applyFill="1" applyBorder="1"/>
    <x:xf numFmtId="0" fontId="7" fillId="3" borderId="0" xfId="49" applyNumberFormat="1" applyFont="1" applyFill="1" applyBorder="1" applyAlignment="1">
      <x:alignment wrapText="1"/>
    </x:xf>
    <x:xf numFmtId="0" fontId="8" fillId="4" borderId="0" xfId="49" applyNumberFormat="1" applyFont="1" applyFill="1" applyBorder="1"/>
    <x:xf numFmtId="0" fontId="1" fillId="41" borderId="0" xfId="0" applyNumberFormat="1" applyFont="1" applyFill="1" applyBorder="1" applyAlignment="1">
      <x:alignment vertical="center" wrapText="1"/>
    </x:xf>
    <x:xf numFmtId="0" fontId="0" fillId="41" borderId="0" xfId="0" applyNumberFormat="1" applyFont="1" applyFill="1" applyBorder="1"/>
    <x:xf numFmtId="0" fontId="1" fillId="41" borderId="0" xfId="0" applyNumberFormat="1" applyFont="1" applyFill="1" applyBorder="1"/>
    <x:xf numFmtId="0" fontId="1" fillId="41" borderId="0" xfId="0" applyNumberFormat="1" applyFont="1" applyFill="1" applyBorder="1" applyAlignment="1">
      <x:alignment vertical="center"/>
    </x:xf>
    <x:xf numFmtId="0" fontId="2" fillId="42" borderId="0" xfId="0" applyNumberFormat="1" applyFont="1" applyFill="1" applyBorder="1" applyAlignment="1">
      <x:alignment vertical="center" wrapText="1"/>
    </x:xf>
    <x:xf numFmtId="0" fontId="0" fillId="42" borderId="0" xfId="0" applyNumberFormat="1" applyFont="1" applyFill="1" applyBorder="1"/>
    <x:xf numFmtId="0" fontId="2" fillId="42" borderId="0" xfId="0" applyNumberFormat="1" applyFont="1" applyFill="1" applyBorder="1"/>
    <x:xf numFmtId="0" fontId="2" fillId="42" borderId="0" xfId="0" applyNumberFormat="1" applyFont="1" applyFill="1" applyBorder="1" applyAlignment="1">
      <x:alignment wrapText="1"/>
    </x:xf>
    <x:xf numFmtId="0" fontId="3" fillId="43" borderId="1" xfId="0" applyNumberFormat="1" applyFont="1" applyFill="1" applyBorder="1" applyAlignment="1">
      <x:alignment horizontal="center" vertical="center" wrapText="1"/>
    </x:xf>
    <x:xf numFmtId="0" fontId="4" fillId="44" borderId="1" xfId="0" applyNumberFormat="1" applyFont="1" applyFill="1" applyBorder="1" applyAlignment="1">
      <x:alignment vertical="top" wrapText="1"/>
    </x:xf>
    <x:xf numFmtId="0" fontId="4" fillId="45" borderId="1" xfId="0" applyNumberFormat="1" applyFont="1" applyFill="1" applyBorder="1" applyAlignment="1">
      <x:alignment vertical="top" wrapText="1"/>
    </x:xf>
    <x:xf numFmtId="0" fontId="4" fillId="46" borderId="1" xfId="0" applyNumberFormat="1" applyFont="1" applyFill="1" applyBorder="1" applyAlignment="1">
      <x:alignment vertical="top" wrapText="1"/>
    </x:xf>
    <x:xf numFmtId="0" fontId="5" fillId="44" borderId="1" xfId="0" applyNumberFormat="1" applyFont="1" applyFill="1" applyBorder="1" applyAlignment="1">
      <x:alignment vertical="top" wrapText="1"/>
    </x:xf>
    <x:xf numFmtId="0" fontId="4" fillId="47" borderId="1" xfId="0" applyNumberFormat="1" applyFont="1" applyFill="1" applyBorder="1" applyAlignment="1">
      <x:alignment vertical="top" wrapText="1"/>
    </x:xf>
    <x:xf numFmtId="0" fontId="4" fillId="48" borderId="1" xfId="0" applyNumberFormat="1" applyFont="1" applyFill="1" applyBorder="1" applyAlignment="1">
      <x:alignment vertical="top" wrapText="1"/>
    </x:xf>
    <x:xf numFmtId="0" fontId="0" fillId="48" borderId="0" xfId="0" applyNumberFormat="1" applyFont="1" applyFill="1" applyBorder="1"/>
    <x:xf numFmtId="0" fontId="4" fillId="48" borderId="0" xfId="0" applyNumberFormat="1" applyFont="1" applyFill="1" applyBorder="1"/>
    <x:xf numFmtId="0" fontId="4" fillId="48" borderId="1" xfId="0" applyNumberFormat="1" applyFont="1" applyFill="1" applyBorder="1"/>
    <x:xf numFmtId="0" fontId="4" fillId="48" borderId="1" xfId="0" applyNumberFormat="1" applyFont="1" applyFill="1" applyBorder="1" applyAlignment="1">
      <x:alignment wrapText="1"/>
    </x:xf>
  </x:cellXfs>
  <x:cellStyles count="50">
    <x:cellStyle name="常规" xfId="0"/>
    <x:cellStyle name="千位分隔" xfId="1"/>
    <x:cellStyle name="货币" xfId="2"/>
    <x:cellStyle name="百分比" xfId="3"/>
    <x:cellStyle name="千位分隔[0]" xfId="4"/>
    <x:cellStyle name="货币[0]" xfId="5"/>
    <x:cellStyle name="超链接" xfId="6"/>
    <x:cellStyle name="已访问的超链接" xfId="7"/>
    <x:cellStyle name="注释" xfId="8"/>
    <x:cellStyle name="警告文本" xfId="9"/>
    <x:cellStyle name="标题" xfId="10"/>
    <x:cellStyle name="解释性文本" xfId="11"/>
    <x:cellStyle name="标题 1" xfId="12"/>
    <x:cellStyle name="标题 2" xfId="13"/>
    <x:cellStyle name="标题 3" xfId="14"/>
    <x:cellStyle name="标题 4" xfId="15"/>
    <x:cellStyle name="输入" xfId="16"/>
    <x:cellStyle name="输出" xfId="17"/>
    <x:cellStyle name="计算" xfId="18"/>
    <x:cellStyle name="检查单元格" xfId="19"/>
    <x:cellStyle name="链接单元格" xfId="20"/>
    <x:cellStyle name="汇总" xfId="21"/>
    <x:cellStyle name="好" xfId="22"/>
    <x:cellStyle name="差" xfId="23"/>
    <x:cellStyle name="适中" xfId="24"/>
    <x:cellStyle name="强调文字颜色 1" xfId="25"/>
    <x:cellStyle name="20% - 强调文字颜色 1" xfId="26"/>
    <x:cellStyle name="40% - 强调文字颜色 1" xfId="27"/>
    <x:cellStyle name="60% - 强调文字颜色 1" xfId="28"/>
    <x:cellStyle name="强调文字颜色 2" xfId="29"/>
    <x:cellStyle name="20% - 强调文字颜色 2" xfId="30"/>
    <x:cellStyle name="40% - 强调文字颜色 2" xfId="31"/>
    <x:cellStyle name="60% - 强调文字颜色 2" xfId="32"/>
    <x:cellStyle name="强调文字颜色 3" xfId="33"/>
    <x:cellStyle name="20% - 强调文字颜色 3" xfId="34"/>
    <x:cellStyle name="40% - 强调文字颜色 3" xfId="35"/>
    <x:cellStyle name="60% - 强调文字颜色 3" xfId="36"/>
    <x:cellStyle name="强调文字颜色 4" xfId="37"/>
    <x:cellStyle name="20% - 强调文字颜色 4" xfId="38"/>
    <x:cellStyle name="40% - 强调文字颜色 4" xfId="39"/>
    <x:cellStyle name="60% - 强调文字颜色 4" xfId="40"/>
    <x:cellStyle name="强调文字颜色 5" xfId="41"/>
    <x:cellStyle name="20% - 强调文字颜色 5" xfId="42"/>
    <x:cellStyle name="40% - 强调文字颜色 5" xfId="43"/>
    <x:cellStyle name="60% - 强调文字颜色 5" xfId="44"/>
    <x:cellStyle name="强调文字颜色 6" xfId="45"/>
    <x:cellStyle name="20% - 强调文字颜色 6" xfId="46"/>
    <x:cellStyle name="40% - 强调文字颜色 6" xfId="47"/>
    <x:cellStyle name="60% - 强调文字颜色 6" xfId="48"/>
    <x:cellStyle name="Normal" xfId="49"/>
  </x:cellStyles>
  <x:dxfs count="17">
    <x:dxf>
      <x:fill>
        <x:patternFill>
          <x:bgColor theme="4" tint="0.79998"/>
        </x:patternFill>
      </x:fill>
    </x:dxf>
    <x:dxf>
      <x:fill>
        <x:patternFill>
          <x:bgColor theme="4" tint="0.79998"/>
        </x:patternFill>
      </x:fill>
    </x:dxf>
    <x:dxf>
      <x:font>
        <x:b/>
        <x:color theme="1"/>
      </x:font>
    </x:dxf>
    <x:dxf>
      <x:font>
        <x:b/>
        <x:color theme="1"/>
      </x:font>
    </x:dxf>
    <x:dxf>
      <x:font>
        <x:b/>
        <x:color theme="1"/>
      </x:font>
      <x:border>
        <x:top style="double">
          <x:color theme="4"/>
        </x:top>
      </x:border>
    </x:dxf>
    <x:dxf>
      <x:font>
        <x:b/>
        <x:color theme="0"/>
      </x:font>
      <x:fill>
        <x:patternFill>
          <x:bgColor theme="4"/>
        </x:patternFill>
      </x:fill>
    </x:dxf>
    <x:dxf>
      <x:font>
        <x:color theme="1"/>
      </x:font>
      <x:border>
        <x:left style="thin">
          <x:color theme="4"/>
        </x:left>
        <x:right style="thin">
          <x:color theme="4"/>
        </x:right>
        <x:top style="thin">
          <x:color theme="4"/>
        </x:top>
        <x:bottom style="thin">
          <x:color theme="4"/>
        </x:bottom>
      </x:border>
    </x:dxf>
    <x:dxf>
      <x:fill>
        <x:patternFill>
          <x:bgColor theme="4" tint="0.79998"/>
        </x:patternFill>
      </x:fill>
      <x:border>
        <x:bottom style="thin">
          <x:color theme="4" tint="0.39998"/>
        </x:bottom>
      </x:border>
    </x:dxf>
    <x:dxf>
      <x:font>
        <x:b/>
      </x:font>
      <x:fill>
        <x:patternFill>
          <x:bgColor theme="4" tint="0.79998"/>
        </x:patternFill>
      </x:fill>
      <x:border>
        <x:bottom style="thin">
          <x:color theme="4" tint="0.39998"/>
        </x:bottom>
      </x:border>
    </x:dxf>
    <x:dxf>
      <x:font>
        <x:color theme="1"/>
      </x:font>
    </x:dxf>
    <x:dxf>
      <x:font>
        <x:color theme="1"/>
      </x:font>
      <x:border>
        <x:bottom style="thin">
          <x:color theme="4" tint="0.39998"/>
        </x:bottom>
      </x:border>
    </x:dxf>
    <x:dxf>
      <x:font>
        <x:b/>
        <x:color theme="1"/>
      </x:font>
    </x:dxf>
    <x:dxf>
      <x:font>
        <x:b/>
        <x:color theme="1"/>
      </x:font>
      <x:border>
        <x:top style="thin">
          <x:color theme="4"/>
        </x:top>
        <x:bottom style="thin">
          <x:color theme="4"/>
        </x:bottom>
      </x:border>
    </x:dxf>
    <x:dxf>
      <x:fill>
        <x:patternFill>
          <x:bgColor theme="4" tint="0.79998"/>
        </x:patternFill>
      </x:fill>
    </x:dxf>
    <x:dxf>
      <x:fill>
        <x:patternFill>
          <x:bgColor theme="4" tint="0.79998"/>
        </x:patternFill>
      </x:fill>
    </x:dxf>
    <x:dxf>
      <x:font>
        <x:b/>
        <x:color theme="1"/>
      </x:font>
      <x:fill>
        <x:patternFill>
          <x:bgColor theme="4" tint="0.79998"/>
        </x:patternFill>
      </x:fill>
      <x:border>
        <x:top style="thin">
          <x:color theme="4" tint="0.39998"/>
        </x:top>
        <x:bottom style="thin">
          <x:color theme="4" tint="0.39998"/>
        </x:bottom>
      </x:border>
    </x:dxf>
    <x:dxf>
      <x:font>
        <x:b/>
        <x:color theme="1"/>
      </x:font>
      <x:fill>
        <x:patternFill>
          <x:bgColor theme="4" tint="0.79998"/>
        </x:patternFill>
      </x:fill>
      <x:border>
        <x:bottom style="thin">
          <x:color theme="4" tint="0.39998"/>
        </x:bottom>
      </x:border>
    </x:dxf>
  </x:dxfs>
</x:styleSheet>
</file>

<file path=xl/_rels/workbook.xml.rels>&#65279;<?xml version="1.0" encoding="utf-8"?><Relationships xmlns="http://schemas.openxmlformats.org/package/2006/relationships"><Relationship Type="http://schemas.openxmlformats.org/officeDocument/2006/relationships/styles" Target="/xl/styles.xml" Id="R33ec47b79db84487" /><Relationship Type="http://schemas.openxmlformats.org/officeDocument/2006/relationships/theme" Target="/xl/theme/theme1.xml" Id="R6be2ec1d8b47443c" /><Relationship Type="http://schemas.openxmlformats.org/officeDocument/2006/relationships/sharedStrings" Target="/xl/sharedStrings.xml" Id="R0dde4c3a4bce4ece" /><Relationship Type="http://schemas.openxmlformats.org/officeDocument/2006/relationships/worksheet" Target="/xl/worksheets/sheet1.xml" Id="R4ff8b11661e44866" /><Relationship Type="http://schemas.openxmlformats.org/officeDocument/2006/relationships/worksheet" Target="/xl/worksheets/sheet2.xml" Id="R2f1199dddccc4aa2" /><Relationship Type="http://schemas.openxmlformats.org/officeDocument/2006/relationships/worksheet" Target="/xl/worksheets/sheet3.xml" Id="R7869cf3e4dd44766" /><Relationship Type="http://schemas.openxmlformats.org/officeDocument/2006/relationships/worksheet" Target="/xl/worksheets/sheet4.xml" Id="Re3c9dfcee35444aa" /><Relationship Type="http://schemas.openxmlformats.org/officeDocument/2006/relationships/worksheet" Target="/xl/worksheets/sheet5.xml" Id="R2060fcb283684a6f"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sheetViews>
  <x:sheetFormatPr defaultColWidth="9" defaultRowHeight="14"/>
  <x:cols>
    <x:col min="1" max="2" width="11.25" customWidth="1"/>
    <x:col min="3" max="3" width="35" customWidth="1"/>
    <x:col min="4" max="7" width="15" customWidth="1"/>
    <x:col min="8" max="8" width="32.5" customWidth="1"/>
  </x:cols>
  <x:sheetData>
    <x:row r="1" ht="24" customHeight="1">
      <x:c r="A1" s="1" t="s">
        <x:v>0</x:v>
      </x:c>
    </x:row>
    <x:row r="2" ht="31.5" customHeight="1">
      <x:c r="A2" s="2" t="str">
        <x:v>黄色单元格由用户填写或确认；蓝色为冻结数据与只读派生名称；绿色为 Codex 在 P12-15C 补写的英文草稿。Feature 不再人工填写顺序或标题：顺序来自 Landing 顶端链接，标题来自按分类器身份维护的中英名称。此文件只用于补齐 Landing 内容，不会自动更新页面。</x:v>
      </x:c>
    </x:row>
    <x:row r="4" ht="24" customHeight="1">
      <x:c r="A4" s="3" t="s">
        <x:v>1</x:v>
      </x:c>
      <x:c r="B4" s="3" t="s">
        <x:v>2</x:v>
      </x:c>
      <x:c r="C4" s="3" t="s">
        <x:v>3</x:v>
      </x:c>
      <x:c r="D4" s="3" t="s">
        <x:v>4</x:v>
      </x:c>
      <x:c r="E4" s="3" t="s">
        <x:v>5</x:v>
      </x:c>
      <x:c r="F4" s="3" t="s">
        <x:v>6</x:v>
      </x:c>
      <x:c r="G4" s="3" t="s">
        <x:v>7</x:v>
      </x:c>
      <x:c r="H4" s="3" t="s">
        <x:v>8</x:v>
      </x:c>
    </x:row>
    <x:row r="5" ht="46.5" customHeight="1">
      <x:c r="A5" s="6" t="s">
        <x:v>9</x:v>
      </x:c>
      <x:c r="B5" s="6" t="s">
        <x:v>10</x:v>
      </x:c>
      <x:c r="C5" s="6" t="s">
        <x:v>11</x:v>
      </x:c>
      <x:c r="D5" s="5" t="s">
        <x:v>12</x:v>
      </x:c>
      <x:c r="E5" s="5" t="s">
        <x:v>13</x:v>
      </x:c>
      <x:c r="F5" s="5" t="s">
        <x:v>13</x:v>
      </x:c>
      <x:c r="G5" s="5" t="s">
        <x:v>13</x:v>
      </x:c>
      <x:c r="H5" s="5"/>
    </x:row>
    <x:row r="6" ht="46.5" customHeight="1">
      <x:c r="A6" s="6" t="s">
        <x:v>9</x:v>
      </x:c>
      <x:c r="B6" s="6" t="s">
        <x:v>14</x:v>
      </x:c>
      <x:c r="C6" s="6" t="s">
        <x:v>15</x:v>
      </x:c>
      <x:c r="D6" s="5" t="s">
        <x:v>13</x:v>
      </x:c>
      <x:c r="E6" s="5" t="s">
        <x:v>13</x:v>
      </x:c>
      <x:c r="F6" s="5" t="s">
        <x:v>13</x:v>
      </x:c>
      <x:c r="G6" s="5" t="s">
        <x:v>13</x:v>
      </x:c>
      <x:c r="H6" s="5"/>
    </x:row>
    <x:row r="7" ht="46.5" customHeight="1">
      <x:c r="A7" s="6" t="s">
        <x:v>16</x:v>
      </x:c>
      <x:c r="B7" s="6" t="s">
        <x:v>14</x:v>
      </x:c>
      <x:c r="C7" s="6" t="s">
        <x:v>17</x:v>
      </x:c>
      <x:c r="D7" s="5" t="s">
        <x:v>13</x:v>
      </x:c>
      <x:c r="E7" s="5" t="s">
        <x:v>13</x:v>
      </x:c>
      <x:c r="F7" s="5" t="s">
        <x:v>13</x:v>
      </x:c>
      <x:c r="G7" s="5" t="s">
        <x:v>13</x:v>
      </x:c>
      <x:c r="H7" s="5"/>
    </x:row>
    <x:row r="10">
      <x:c r="A10" s="16" t="s">
        <x:v>18</x:v>
      </x:c>
      <x:c r="B10" s="16"/>
      <x:c r="C10" s="16"/>
      <x:c r="D10" s="16"/>
      <x:c r="E10" s="16"/>
      <x:c r="F10" s="16"/>
      <x:c r="G10" s="16"/>
      <x:c r="H10" s="16"/>
    </x:row>
    <x:row r="11" ht="24" customHeight="1">
      <x:c r="A11" s="3" t="s">
        <x:v>19</x:v>
      </x:c>
      <x:c r="B11" s="3" t="s">
        <x:v>20</x:v>
      </x:c>
      <x:c r="C11" s="3" t="s">
        <x:v>21</x:v>
      </x:c>
    </x:row>
    <x:row r="12" ht="25">
      <x:c r="A12" s="8" t="s">
        <x:v>22</x:v>
      </x:c>
      <x:c r="B12" s="8" t="n">
        <x:f>COUNTIF('Landing Copy'!$A$5:$A$204,"KEEP")</x:f>
        <x:v>11</x:v>
      </x:c>
      <x:c r="C12" s="8" t="s">
        <x:v>23</x:v>
      </x:c>
    </x:row>
    <x:row r="13" ht="37.5">
      <x:c r="A13" s="8" t="s">
        <x:v>24</x:v>
      </x:c>
      <x:c r="B13" s="8" t="n">
        <x:f>COUNTIF('Featured Decks'!$A$5:$A$204,"KEEP")</x:f>
        <x:v>16</x:v>
      </x:c>
      <x:c r="C13" s="8" t="s">
        <x:v>25</x:v>
      </x:c>
    </x:row>
    <x:row r="14" ht="50">
      <x:c r="A14" s="8" t="str">
        <x:v>Featured rows needing category/positioning/cards</x:v>
      </x:c>
      <x:c r="B14" s="8" t="n">
        <x:f>COUNTIF('Featured Decks'!$W$5:$W$204,"NEEDS INPUT")</x:f>
        <x:v>0</x:v>
      </x:c>
      <x:c r="C14" s="8" t="str">
        <x:v>选中的精选套牌仍缺少类别、中文定位或四张代表单卡</x:v>
      </x:c>
    </x:row>
    <x:row r="15" ht="25">
      <x:c r="A15" s="8" t="s">
        <x:v>26</x:v>
      </x:c>
      <x:c r="B15" s="8" t="n">
        <x:f>COUNTA('All Top 8'!$C$5:$C$204)</x:f>
        <x:v>168</x:v>
      </x:c>
      <x:c r="C15" s="8" t="s">
        <x:v>27</x:v>
      </x:c>
    </x:row>
  </x:sheetData>
  <x:mergeCells>
    <x:mergeCell ref="A1:H1"/>
    <x:mergeCell ref="A2:H2"/>
    <x:mergeCell ref="A10:H10"/>
  </x:mergeCells>
  <x:dataValidations count="1">
    <x:dataValidation type="list" sqref="D5:G7">
      <x:formula1>"PENDING,APPROVED,EMPTY APPROVED,NOT APPLICABLE"</x:formula1>
    </x:dataValidation>
  </x:dataValidation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ColWidth="9" defaultRowHeight="14"/>
  <x:cols>
    <x:col min="1" max="1" width="13.133333206176758" customWidth="1"/>
    <x:col min="2" max="2" width="11.25" customWidth="1"/>
    <x:col min="3" max="3" width="10.633333206176758" customWidth="1"/>
    <x:col min="4" max="6" width="57.5" customWidth="1"/>
    <x:col min="7" max="7" width="27.5" customWidth="1"/>
    <x:col min="8" max="8" width="11.883333206176758" customWidth="1"/>
    <x:col min="9" max="9" width="6.883333206176758" customWidth="1"/>
    <x:col min="10" max="10" width="18.75" customWidth="1"/>
    <x:col min="11" max="11" width="16.25" customWidth="1"/>
    <x:col min="12" max="12" width="23.75" customWidth="1"/>
  </x:cols>
  <x:sheetData>
    <x:row r="1" ht="24" customHeight="1">
      <x:c r="A1" s="1" t="s">
        <x:v>28</x:v>
      </x:c>
    </x:row>
    <x:row r="2" ht="31.5" customHeight="1">
      <x:c r="A2" s="2" t="s">
        <x:v>29</x:v>
      </x:c>
    </x:row>
    <x:row r="4" ht="24" customHeight="1">
      <x:c r="A4" s="3" t="s">
        <x:v>30</x:v>
      </x:c>
      <x:c r="B4" s="3" t="s">
        <x:v>31</x:v>
      </x:c>
      <x:c r="C4" s="3" t="s">
        <x:v>1</x:v>
      </x:c>
      <x:c r="D4" s="3" t="s">
        <x:v>32</x:v>
      </x:c>
      <x:c r="E4" s="3" t="s">
        <x:v>33</x:v>
      </x:c>
      <x:c r="F4" s="3" t="s">
        <x:v>34</x:v>
      </x:c>
    </x:row>
    <x:row r="5" ht="81" customHeight="1">
      <x:c r="A5" s="5" t="s">
        <x:v>35</x:v>
      </x:c>
      <x:c r="B5" s="5">
        <x:v>1</x:v>
      </x:c>
      <x:c r="C5" s="5" t="s">
        <x:v>9</x:v>
      </x:c>
      <x:c r="D5" s="5" t="s">
        <x:v>36</x:v>
      </x:c>
      <x:c r="E5" s="7" t="s">
        <x:v>37</x:v>
      </x:c>
      <x:c r="F5" s="5" t="s">
        <x:v>37</x:v>
      </x:c>
    </x:row>
    <x:row r="6" ht="81" customHeight="1">
      <x:c r="A6" s="5" t="s">
        <x:v>35</x:v>
      </x:c>
      <x:c r="B6" s="5">
        <x:v>2</x:v>
      </x:c>
      <x:c r="C6" s="5" t="s">
        <x:v>9</x:v>
      </x:c>
      <x:c r="D6" s="5" t="s">
        <x:v>38</x:v>
      </x:c>
      <x:c r="E6" s="7" t="s">
        <x:v>39</x:v>
      </x:c>
      <x:c r="F6" s="5" t="s">
        <x:v>39</x:v>
      </x:c>
    </x:row>
    <x:row r="7" ht="81" customHeight="1">
      <x:c r="A7" s="5" t="s">
        <x:v>35</x:v>
      </x:c>
      <x:c r="B7" s="5">
        <x:v>3</x:v>
      </x:c>
      <x:c r="C7" s="5" t="s">
        <x:v>9</x:v>
      </x:c>
      <x:c r="D7" s="5" t="s">
        <x:v>40</x:v>
      </x:c>
      <x:c r="E7" s="7" t="s">
        <x:v>41</x:v>
      </x:c>
      <x:c r="F7" s="5" t="s">
        <x:v>41</x:v>
      </x:c>
    </x:row>
    <x:row r="8" ht="81" customHeight="1">
      <x:c r="A8" s="5" t="s">
        <x:v>35</x:v>
      </x:c>
      <x:c r="B8" s="5">
        <x:v>4</x:v>
      </x:c>
      <x:c r="C8" s="5" t="s">
        <x:v>9</x:v>
      </x:c>
      <x:c r="D8" s="5" t="s">
        <x:v>42</x:v>
      </x:c>
      <x:c r="E8" s="7" t="s">
        <x:v>43</x:v>
      </x:c>
      <x:c r="F8" s="5" t="s">
        <x:v>43</x:v>
      </x:c>
    </x:row>
    <x:row r="9" ht="81" customHeight="1">
      <x:c r="A9" s="5" t="s">
        <x:v>35</x:v>
      </x:c>
      <x:c r="B9" s="5">
        <x:v>5</x:v>
      </x:c>
      <x:c r="C9" s="5" t="s">
        <x:v>9</x:v>
      </x:c>
      <x:c r="D9" s="5" t="s">
        <x:v>44</x:v>
      </x:c>
      <x:c r="E9" s="7" t="s">
        <x:v>45</x:v>
      </x:c>
      <x:c r="F9" s="5" t="s">
        <x:v>45</x:v>
      </x:c>
    </x:row>
    <x:row r="10" ht="81" customHeight="1">
      <x:c r="A10" s="5" t="s">
        <x:v>35</x:v>
      </x:c>
      <x:c r="B10" s="5">
        <x:v>6</x:v>
      </x:c>
      <x:c r="C10" s="5" t="s">
        <x:v>9</x:v>
      </x:c>
      <x:c r="D10" s="5" t="s">
        <x:v>46</x:v>
      </x:c>
      <x:c r="E10" s="7" t="s">
        <x:v>47</x:v>
      </x:c>
      <x:c r="F10" s="5" t="s">
        <x:v>47</x:v>
      </x:c>
    </x:row>
    <x:row r="11" ht="81" customHeight="1">
      <x:c r="A11" s="5" t="s">
        <x:v>35</x:v>
      </x:c>
      <x:c r="B11" s="5">
        <x:v>7</x:v>
      </x:c>
      <x:c r="C11" s="5" t="s">
        <x:v>9</x:v>
      </x:c>
      <x:c r="D11" s="5" t="s">
        <x:v>48</x:v>
      </x:c>
      <x:c r="E11" s="7" t="s">
        <x:v>49</x:v>
      </x:c>
      <x:c r="F11" s="5" t="s">
        <x:v>49</x:v>
      </x:c>
    </x:row>
    <x:row r="12" ht="81" customHeight="1">
      <x:c r="A12" s="5" t="s">
        <x:v>35</x:v>
      </x:c>
      <x:c r="B12" s="5">
        <x:v>8</x:v>
      </x:c>
      <x:c r="C12" s="5" t="s">
        <x:v>9</x:v>
      </x:c>
      <x:c r="D12" s="5" t="s">
        <x:v>50</x:v>
      </x:c>
      <x:c r="E12" s="7" t="s">
        <x:v>51</x:v>
      </x:c>
      <x:c r="F12" s="5" t="s">
        <x:v>51</x:v>
      </x:c>
    </x:row>
    <x:row r="13" ht="81" customHeight="1">
      <x:c r="A13" s="5" t="s">
        <x:v>35</x:v>
      </x:c>
      <x:c r="B13" s="5">
        <x:v>9</x:v>
      </x:c>
      <x:c r="C13" s="5" t="s">
        <x:v>9</x:v>
      </x:c>
      <x:c r="D13" s="5" t="s">
        <x:v>52</x:v>
      </x:c>
      <x:c r="E13" s="7" t="s">
        <x:v>53</x:v>
      </x:c>
      <x:c r="F13" s="5" t="s">
        <x:v>53</x:v>
      </x:c>
    </x:row>
    <x:row r="14" ht="81" customHeight="1">
      <x:c r="A14" s="5" t="s">
        <x:v>35</x:v>
      </x:c>
      <x:c r="B14" s="5">
        <x:v>2</x:v>
      </x:c>
      <x:c r="C14" s="5" t="s">
        <x:v>16</x:v>
      </x:c>
      <x:c r="D14" s="5" t="s">
        <x:v>54</x:v>
      </x:c>
      <x:c r="E14" s="7" t="s">
        <x:v>55</x:v>
      </x:c>
      <x:c r="F14" s="5" t="s">
        <x:v>55</x:v>
      </x:c>
    </x:row>
    <x:row r="15" ht="81" customHeight="1">
      <x:c r="A15" s="5" t="s">
        <x:v>35</x:v>
      </x:c>
      <x:c r="B15" s="5">
        <x:v>1</x:v>
      </x:c>
      <x:c r="C15" s="5" t="s">
        <x:v>16</x:v>
      </x:c>
      <x:c r="D15" s="5" t="s">
        <x:v>56</x:v>
      </x:c>
      <x:c r="E15" s="7" t="s">
        <x:v>57</x:v>
      </x:c>
      <x:c r="F15" s="5" t="s">
        <x:v>57</x:v>
      </x:c>
    </x:row>
    <x:row r="18" ht="16.5">
      <x:c r="A18" s="14" t="s">
        <x:v>58</x:v>
      </x:c>
      <x:c r="B18" s="14"/>
      <x:c r="C18" s="14"/>
      <x:c r="D18" s="14"/>
      <x:c r="E18" s="14"/>
      <x:c r="F18" s="14"/>
      <x:c r="G18" s="14"/>
      <x:c r="H18" s="14"/>
      <x:c r="I18" s="14"/>
      <x:c r="J18" s="14"/>
      <x:c r="K18" s="14"/>
      <x:c r="L18" s="14"/>
    </x:row>
    <x:row r="19">
      <x:c r="A19" s="15" t="str">
        <x:v>FEATURED 表示底部精选套牌；参考区按 Feature 的自动顺序排列。复制 Deck Link ID 到正文中想放链接的位置即可；正文中的每个 Deck Link ID 都必须同时保持为 KEEP Feature。</x:v>
      </x:c>
      <x:c r="B19" s="15"/>
      <x:c r="C19" s="15"/>
      <x:c r="D19" s="15"/>
      <x:c r="E19" s="15"/>
      <x:c r="F19" s="15"/>
      <x:c r="G19" s="15"/>
      <x:c r="H19" s="15"/>
      <x:c r="I19" s="15"/>
      <x:c r="J19" s="15"/>
      <x:c r="K19" s="15"/>
      <x:c r="L19" s="15"/>
    </x:row>
    <x:row r="21" ht="24" customHeight="1">
      <x:c r="A21" s="3" t="s">
        <x:v>59</x:v>
      </x:c>
      <x:c r="B21" s="3" t="s">
        <x:v>60</x:v>
      </x:c>
      <x:c r="C21" s="3" t="s">
        <x:v>1</x:v>
      </x:c>
      <x:c r="D21" s="3" t="s">
        <x:v>61</x:v>
      </x:c>
      <x:c r="E21" s="3" t="s">
        <x:v>62</x:v>
      </x:c>
      <x:c r="F21" s="3" t="s">
        <x:v>63</x:v>
      </x:c>
      <x:c r="G21" s="3" t="s">
        <x:v>64</x:v>
      </x:c>
      <x:c r="H21" s="3" t="s">
        <x:v>65</x:v>
      </x:c>
      <x:c r="I21" s="3" t="s">
        <x:v>66</x:v>
      </x:c>
      <x:c r="J21" s="3" t="s">
        <x:v>67</x:v>
      </x:c>
      <x:c r="K21" s="3" t="s">
        <x:v>68</x:v>
      </x:c>
      <x:c r="L21" s="3" t="s">
        <x:v>69</x:v>
      </x:c>
    </x:row>
    <x:row r="22" ht="27" customHeight="1">
      <x:c r="A22" s="6" t="str">
        <x:v>FEATURED</x:v>
      </x:c>
      <x:c r="B22" s="6" t="str">
        <x:v>2026-W27</x:v>
      </x:c>
      <x:c r="C22" s="6" t="str">
        <x:v>standard</x:v>
      </x:c>
      <x:c r="D22" s="6" t="str">
        <x:v>4-Color Tablet · _Batutinha_ · 第2名</x:v>
      </x:c>
      <x:c r="E22" s="6" t="str">
        <x:v>4-Color Tablet · _Batutinha_ · Rank 2</x:v>
      </x:c>
      <x:c r="F22" s="6" t="str">
        <x:v>https://jacelber.github.io/mtgo-data/index.html?format=standard&amp;product=mtgo-top8&amp;week=2026-W27&amp;detail=12846474%3A2&amp;lang=zh</x:v>
      </x:c>
      <x:c r="G22" s="6" t="str">
        <x:v>Standard Challenge 32 · 12846474</x:v>
      </x:c>
      <x:c r="H22" s="6" t="str">
        <x:v>2026-07-03</x:v>
      </x:c>
      <x:c r="I22" s="6" t="n">
        <x:v>2</x:v>
      </x:c>
      <x:c r="J22" s="6" t="str">
        <x:v>4-Color Tablet</x:v>
      </x:c>
      <x:c r="K22" s="6" t="str">
        <x:v>_Batutinha_</x:v>
      </x:c>
      <x:c r="L22" s="6" t="str">
        <x:v>deck:b1b5dae4c06b9e421756</x:v>
      </x:c>
    </x:row>
    <x:row r="23" ht="27" customHeight="1">
      <x:c r="A23" s="6" t="str">
        <x:v>FEATURED</x:v>
      </x:c>
      <x:c r="B23" s="6" t="str">
        <x:v>2026-W33</x:v>
      </x:c>
      <x:c r="C23" s="6" t="str">
        <x:v>standard</x:v>
      </x:c>
      <x:c r="D23" s="6" t="str">
        <x:v>Grixis Tablet · auzzie51 · 第3名</x:v>
      </x:c>
      <x:c r="E23" s="6" t="str">
        <x:v>Grixis Tablet · auzzie51 · Rank 3</x:v>
      </x:c>
      <x:c r="F23" s="6" t="str">
        <x:v>https://jacelber.github.io/mtgo-data/index.html?format=standard&amp;product=mtgo-top8&amp;week=2026-W33&amp;detail=12851659%3A3&amp;lang=zh</x:v>
      </x:c>
      <x:c r="G23" s="6" t="str">
        <x:v>Standard Challenge 32 · 12851659</x:v>
      </x:c>
      <x:c r="H23" s="6" t="str">
        <x:v>2026-08-15</x:v>
      </x:c>
      <x:c r="I23" s="6" t="n">
        <x:v>3</x:v>
      </x:c>
      <x:c r="J23" s="6" t="str">
        <x:v>Grixis Tablet</x:v>
      </x:c>
      <x:c r="K23" s="6" t="str">
        <x:v>auzzie51</x:v>
      </x:c>
      <x:c r="L23" s="6" t="str">
        <x:v>deck:96b30d5e076425e95de6</x:v>
      </x:c>
    </x:row>
    <x:row r="24" ht="27" customHeight="1">
      <x:c r="A24" s="6" t="str">
        <x:v>FEATURED</x:v>
      </x:c>
      <x:c r="B24" s="6" t="str">
        <x:v>2026-W33</x:v>
      </x:c>
      <x:c r="C24" s="6" t="str">
        <x:v>standard</x:v>
      </x:c>
      <x:c r="D24" s="6" t="str">
        <x:v>Jeskai Lessons · J_tekt · 第1名</x:v>
      </x:c>
      <x:c r="E24" s="6" t="str">
        <x:v>Jeskai Lessons · J_tekt · Rank 1</x:v>
      </x:c>
      <x:c r="F24" s="6" t="str">
        <x:v>https://jacelber.github.io/mtgo-data/index.html?format=standard&amp;product=mtgo-top8&amp;week=2026-W33&amp;detail=12851664%3A1&amp;lang=zh</x:v>
      </x:c>
      <x:c r="G24" s="6" t="str">
        <x:v>Standard Challenge 32 · 12851664</x:v>
      </x:c>
      <x:c r="H24" s="6" t="str">
        <x:v>2026-08-15</x:v>
      </x:c>
      <x:c r="I24" s="6" t="n">
        <x:v>1</x:v>
      </x:c>
      <x:c r="J24" s="6" t="str">
        <x:v>Jeskai Lessons</x:v>
      </x:c>
      <x:c r="K24" s="6" t="str">
        <x:v>J_tekt</x:v>
      </x:c>
      <x:c r="L24" s="6" t="str">
        <x:v>deck:0ef7de8666929e404c95</x:v>
      </x:c>
    </x:row>
    <x:row r="25" ht="27" customHeight="1">
      <x:c r="A25" s="6" t="str">
        <x:v>FEATURED</x:v>
      </x:c>
      <x:c r="B25" s="6" t="str">
        <x:v>2026-W33</x:v>
      </x:c>
      <x:c r="C25" s="6" t="str">
        <x:v>standard</x:v>
      </x:c>
      <x:c r="D25" s="6" t="str">
        <x:v>Mono-Green Landfall · Brasatore · 第1名</x:v>
      </x:c>
      <x:c r="E25" s="6" t="str">
        <x:v>Mono-Green Landfall · Brasatore · Rank 1</x:v>
      </x:c>
      <x:c r="F25" s="6" t="str">
        <x:v>https://jacelber.github.io/mtgo-data/index.html?format=standard&amp;product=mtgo-top8&amp;week=2026-W33&amp;detail=12851611%3A1&amp;lang=zh</x:v>
      </x:c>
      <x:c r="G25" s="6" t="str">
        <x:v>Standard Challenge 32 · 12851611</x:v>
      </x:c>
      <x:c r="H25" s="6" t="str">
        <x:v>2026-08-11</x:v>
      </x:c>
      <x:c r="I25" s="6" t="n">
        <x:v>1</x:v>
      </x:c>
      <x:c r="J25" s="6" t="str">
        <x:v>Mono-Green Landfall</x:v>
      </x:c>
      <x:c r="K25" s="6" t="str">
        <x:v>Brasatore</x:v>
      </x:c>
      <x:c r="L25" s="6" t="str">
        <x:v>deck:113f08b5c4dcc7b5e1ce</x:v>
      </x:c>
    </x:row>
    <x:row r="26" ht="27" customHeight="1">
      <x:c r="A26" s="6" t="str">
        <x:v>FEATURED</x:v>
      </x:c>
      <x:c r="B26" s="6" t="str">
        <x:v>2026-W33</x:v>
      </x:c>
      <x:c r="C26" s="6" t="str">
        <x:v>standard</x:v>
      </x:c>
      <x:c r="D26" s="6" t="str">
        <x:v>Mono-Green Landfall · Scorpion100 · 第1名</x:v>
      </x:c>
      <x:c r="E26" s="6" t="str">
        <x:v>Mono-Green Landfall · Scorpion100 · Rank 1</x:v>
      </x:c>
      <x:c r="F26" s="6" t="str">
        <x:v>https://jacelber.github.io/mtgo-data/index.html?format=standard&amp;product=mtgo-top8&amp;week=2026-W33&amp;detail=12851684%3A1&amp;lang=zh</x:v>
      </x:c>
      <x:c r="G26" s="6" t="str">
        <x:v>Standard Challenge 32 · 12851684</x:v>
      </x:c>
      <x:c r="H26" s="6" t="str">
        <x:v>2026-08-16</x:v>
      </x:c>
      <x:c r="I26" s="6" t="n">
        <x:v>1</x:v>
      </x:c>
      <x:c r="J26" s="6" t="str">
        <x:v>Mono-Green Landfall</x:v>
      </x:c>
      <x:c r="K26" s="6" t="str">
        <x:v>Scorpion100</x:v>
      </x:c>
      <x:c r="L26" s="6" t="str">
        <x:v>deck:3b20a57979ef845780d2</x:v>
      </x:c>
    </x:row>
    <x:row r="27" ht="27" customHeight="1">
      <x:c r="A27" s="6" t="str">
        <x:v>FEATURED</x:v>
      </x:c>
      <x:c r="B27" s="6" t="str">
        <x:v>2026-W33</x:v>
      </x:c>
      <x:c r="C27" s="6" t="str">
        <x:v>standard</x:v>
      </x:c>
      <x:c r="D27" s="6" t="str">
        <x:v>Dimir Midrange · claudioh · 第1名</x:v>
      </x:c>
      <x:c r="E27" s="6" t="str">
        <x:v>Dimir Midrange · claudioh · Rank 1</x:v>
      </x:c>
      <x:c r="F27" s="6" t="str">
        <x:v>https://jacelber.github.io/mtgo-data/index.html?format=standard&amp;product=mtgo-top8&amp;week=2026-W33&amp;detail=12851641%3A1&amp;lang=zh</x:v>
      </x:c>
      <x:c r="G27" s="6" t="str">
        <x:v>Standard Challenge 32 · 12851641</x:v>
      </x:c>
      <x:c r="H27" s="6" t="str">
        <x:v>2026-08-14</x:v>
      </x:c>
      <x:c r="I27" s="6" t="n">
        <x:v>1</x:v>
      </x:c>
      <x:c r="J27" s="6" t="str">
        <x:v>Dimir Midrange</x:v>
      </x:c>
      <x:c r="K27" s="6" t="str">
        <x:v>claudioh</x:v>
      </x:c>
      <x:c r="L27" s="6" t="str">
        <x:v>deck:6552a16bef7fa5293b5d</x:v>
      </x:c>
    </x:row>
    <x:row r="28" ht="27" customHeight="1">
      <x:c r="A28" s="6" t="str">
        <x:v>FEATURED</x:v>
      </x:c>
      <x:c r="B28" s="6" t="str">
        <x:v>2026-W33</x:v>
      </x:c>
      <x:c r="C28" s="6" t="str">
        <x:v>standard</x:v>
      </x:c>
      <x:c r="D28" s="6" t="str">
        <x:v>Dimir Midrange · unagieel · 第5名</x:v>
      </x:c>
      <x:c r="E28" s="6" t="str">
        <x:v>Dimir Midrange · unagieel · Rank 5</x:v>
      </x:c>
      <x:c r="F28" s="6" t="str">
        <x:v>https://jacelber.github.io/mtgo-data/index.html?format=standard&amp;product=mtgo-top8&amp;week=2026-W33&amp;detail=12851659%3A5&amp;lang=zh</x:v>
      </x:c>
      <x:c r="G28" s="6" t="str">
        <x:v>Standard Challenge 32 · 12851659</x:v>
      </x:c>
      <x:c r="H28" s="6" t="str">
        <x:v>2026-08-15</x:v>
      </x:c>
      <x:c r="I28" s="6" t="n">
        <x:v>5</x:v>
      </x:c>
      <x:c r="J28" s="6" t="str">
        <x:v>Dimir Midrange</x:v>
      </x:c>
      <x:c r="K28" s="6" t="str">
        <x:v>unagieel</x:v>
      </x:c>
      <x:c r="L28" s="6" t="str">
        <x:v>deck:cf1060bd38d38c8f161f</x:v>
      </x:c>
    </x:row>
    <x:row r="29" ht="27" customHeight="1">
      <x:c r="A29" s="6" t="str">
        <x:v>FEATURED</x:v>
      </x:c>
      <x:c r="B29" s="6" t="str">
        <x:v>2026-W33</x:v>
      </x:c>
      <x:c r="C29" s="6" t="str">
        <x:v>standard</x:v>
      </x:c>
      <x:c r="D29" s="6" t="str">
        <x:v>Orzhov Lifegain · Traft · 第1名</x:v>
      </x:c>
      <x:c r="E29" s="6" t="str">
        <x:v>Orzhov Lifegain · Traft · Rank 1</x:v>
      </x:c>
      <x:c r="F29" s="6" t="str">
        <x:v>https://jacelber.github.io/mtgo-data/index.html?format=standard&amp;product=mtgo-top8&amp;week=2026-W33&amp;detail=12851651%3A1&amp;lang=zh</x:v>
      </x:c>
      <x:c r="G29" s="6" t="str">
        <x:v>Standard Challenge 32 · 12851651</x:v>
      </x:c>
      <x:c r="H29" s="6" t="str">
        <x:v>2026-08-14</x:v>
      </x:c>
      <x:c r="I29" s="6" t="n">
        <x:v>1</x:v>
      </x:c>
      <x:c r="J29" s="6" t="str">
        <x:v>Orzhov Lifegain</x:v>
      </x:c>
      <x:c r="K29" s="6" t="str">
        <x:v>Traft</x:v>
      </x:c>
      <x:c r="L29" s="6" t="str">
        <x:v>deck:085fbae05701d25afeda</x:v>
      </x:c>
    </x:row>
    <x:row r="30" ht="27" customHeight="1">
      <x:c r="A30" s="6" t="str">
        <x:v>FEATURED</x:v>
      </x:c>
      <x:c r="B30" s="6" t="str">
        <x:v>2026-W33</x:v>
      </x:c>
      <x:c r="C30" s="6" t="str">
        <x:v>standard</x:v>
      </x:c>
      <x:c r="D30" s="6" t="str">
        <x:v>Boros Dragons · IronBeagle · 第3名</x:v>
      </x:c>
      <x:c r="E30" s="6" t="str">
        <x:v>Boros Dragons · IronBeagle · Rank 3</x:v>
      </x:c>
      <x:c r="F30" s="6" t="str">
        <x:v>https://jacelber.github.io/mtgo-data/index.html?format=standard&amp;product=mtgo-top8&amp;week=2026-W33&amp;detail=12851651%3A3&amp;lang=zh</x:v>
      </x:c>
      <x:c r="G30" s="6" t="str">
        <x:v>Standard Challenge 32 · 12851651</x:v>
      </x:c>
      <x:c r="H30" s="6" t="str">
        <x:v>2026-08-14</x:v>
      </x:c>
      <x:c r="I30" s="6" t="n">
        <x:v>3</x:v>
      </x:c>
      <x:c r="J30" s="6" t="str">
        <x:v>Boros Dragons</x:v>
      </x:c>
      <x:c r="K30" s="6" t="str">
        <x:v>IronBeagle</x:v>
      </x:c>
      <x:c r="L30" s="6" t="str">
        <x:v>deck:a1ee1d77d2a2ebb3ff9d</x:v>
      </x:c>
    </x:row>
    <x:row r="31" ht="27" customHeight="1">
      <x:c r="A31" s="6" t="str">
        <x:v>FEATURED</x:v>
      </x:c>
      <x:c r="B31" s="6" t="str">
        <x:v>2026-W33</x:v>
      </x:c>
      <x:c r="C31" s="6" t="str">
        <x:v>standard</x:v>
      </x:c>
      <x:c r="D31" s="6" t="str">
        <x:v>Mono-Red Dragons · SpockVidaLoka · 第5名</x:v>
      </x:c>
      <x:c r="E31" s="6" t="str">
        <x:v>Mono-Red Dragons · SpockVidaLoka · Rank 5</x:v>
      </x:c>
      <x:c r="F31" s="6" t="str">
        <x:v>https://jacelber.github.io/mtgo-data/index.html?format=standard&amp;product=mtgo-top8&amp;week=2026-W33&amp;detail=12851651%3A5&amp;lang=zh</x:v>
      </x:c>
      <x:c r="G31" s="6" t="str">
        <x:v>Standard Challenge 32 · 12851651</x:v>
      </x:c>
      <x:c r="H31" s="6" t="str">
        <x:v>2026-08-14</x:v>
      </x:c>
      <x:c r="I31" s="6" t="n">
        <x:v>5</x:v>
      </x:c>
      <x:c r="J31" s="6" t="str">
        <x:v>Mono-Red Dragons</x:v>
      </x:c>
      <x:c r="K31" s="6" t="str">
        <x:v>SpockVidaLoka</x:v>
      </x:c>
      <x:c r="L31" s="6" t="str">
        <x:v>deck:96749dc528008eb7a201</x:v>
      </x:c>
    </x:row>
    <x:row r="32" ht="27" customHeight="1">
      <x:c r="A32" s="6" t="str">
        <x:v>FEATURED</x:v>
      </x:c>
      <x:c r="B32" s="6" t="str">
        <x:v>2026-W33</x:v>
      </x:c>
      <x:c r="C32" s="6" t="str">
        <x:v>standard</x:v>
      </x:c>
      <x:c r="D32" s="6" t="str">
        <x:v>Five-Color Humans · burnet7 · 第2名</x:v>
      </x:c>
      <x:c r="E32" s="6" t="str">
        <x:v>Five-Color Humans · burnet7 · Rank 2</x:v>
      </x:c>
      <x:c r="F32" s="6" t="str">
        <x:v>https://jacelber.github.io/mtgo-data/index.html?format=standard&amp;product=mtgo-top8&amp;week=2026-W33&amp;detail=12851628%3A2&amp;lang=zh</x:v>
      </x:c>
      <x:c r="G32" s="6" t="str">
        <x:v>Standard Challenge 32 · 12851628</x:v>
      </x:c>
      <x:c r="H32" s="6" t="str">
        <x:v>2026-08-13</x:v>
      </x:c>
      <x:c r="I32" s="6" t="n">
        <x:v>2</x:v>
      </x:c>
      <x:c r="J32" s="6" t="str">
        <x:v>Five-Color Humans</x:v>
      </x:c>
      <x:c r="K32" s="6" t="str">
        <x:v>burnet7</x:v>
      </x:c>
      <x:c r="L32" s="6" t="str">
        <x:v>deck:72768a4ea7b144822c74</x:v>
      </x:c>
    </x:row>
    <x:row r="33" ht="27" customHeight="1">
      <x:c r="A33" s="6" t="str">
        <x:v>FEATURED</x:v>
      </x:c>
      <x:c r="B33" s="6" t="str">
        <x:v>2026-W33</x:v>
      </x:c>
      <x:c r="C33" s="6" t="str">
        <x:v>standard</x:v>
      </x:c>
      <x:c r="D33" s="6" t="str">
        <x:v>Azorius Oculus · Thief_Of_Crowns · 第7名</x:v>
      </x:c>
      <x:c r="E33" s="6" t="str">
        <x:v>Azorius Oculus · Thief_Of_Crowns · Rank 7</x:v>
      </x:c>
      <x:c r="F33" s="6" t="str">
        <x:v>https://jacelber.github.io/mtgo-data/index.html?format=standard&amp;product=mtgo-top8&amp;week=2026-W33&amp;detail=12851651%3A7&amp;lang=zh</x:v>
      </x:c>
      <x:c r="G33" s="6" t="str">
        <x:v>Standard Challenge 32 · 12851651</x:v>
      </x:c>
      <x:c r="H33" s="6" t="str">
        <x:v>2026-08-14</x:v>
      </x:c>
      <x:c r="I33" s="6" t="n">
        <x:v>7</x:v>
      </x:c>
      <x:c r="J33" s="6" t="str">
        <x:v>Azorius Oculus</x:v>
      </x:c>
      <x:c r="K33" s="6" t="str">
        <x:v>Thief_Of_Crowns</x:v>
      </x:c>
      <x:c r="L33" s="6" t="str">
        <x:v>deck:492b0e40d4a2f0bdc168</x:v>
      </x:c>
    </x:row>
    <x:row r="34" ht="27" customHeight="1">
      <x:c r="A34" s="6" t="str">
        <x:v>FEATURED</x:v>
      </x:c>
      <x:c r="B34" s="6" t="str">
        <x:v>2026-W33</x:v>
      </x:c>
      <x:c r="C34" s="6" t="str">
        <x:v>standard</x:v>
      </x:c>
      <x:c r="D34" s="6" t="str">
        <x:v>Jeskai Tablet · _VFS_ · 第8名</x:v>
      </x:c>
      <x:c r="E34" s="6" t="str">
        <x:v>Jeskai Tablet · _VFS_ · Rank 8</x:v>
      </x:c>
      <x:c r="F34" s="6" t="str">
        <x:v>https://jacelber.github.io/mtgo-data/index.html?format=standard&amp;product=mtgo-top8&amp;week=2026-W33&amp;detail=12851628%3A8&amp;lang=zh</x:v>
      </x:c>
      <x:c r="G34" s="6" t="str">
        <x:v>Standard Challenge 32 · 12851628</x:v>
      </x:c>
      <x:c r="H34" s="6" t="str">
        <x:v>2026-08-13</x:v>
      </x:c>
      <x:c r="I34" s="6" t="n">
        <x:v>8</x:v>
      </x:c>
      <x:c r="J34" s="6" t="str">
        <x:v>Jeskai Tablet</x:v>
      </x:c>
      <x:c r="K34" s="6" t="str">
        <x:v>_VFS_</x:v>
      </x:c>
      <x:c r="L34" s="6" t="str">
        <x:v>deck:3e9daa72448ce4e0b276</x:v>
      </x:c>
    </x:row>
    <x:row r="35" ht="27" customHeight="1">
      <x:c r="A35" s="6" t="str">
        <x:v>FEATURED</x:v>
      </x:c>
      <x:c r="B35" s="6" t="str">
        <x:v>2026-W33</x:v>
      </x:c>
      <x:c r="C35" s="6" t="str">
        <x:v>standard</x:v>
      </x:c>
      <x:c r="D35" s="6" t="str">
        <x:v>Jeskai Momo · olbeda · 第6名</x:v>
      </x:c>
      <x:c r="E35" s="6" t="str">
        <x:v>Jeskai Momo · olbeda · Rank 6</x:v>
      </x:c>
      <x:c r="F35" s="6" t="str">
        <x:v>https://jacelber.github.io/mtgo-data/index.html?format=standard&amp;product=mtgo-top8&amp;week=2026-W33&amp;detail=12851684%3A6&amp;lang=zh</x:v>
      </x:c>
      <x:c r="G35" s="6" t="str">
        <x:v>Standard Challenge 32 · 12851684</x:v>
      </x:c>
      <x:c r="H35" s="6" t="str">
        <x:v>2026-08-16</x:v>
      </x:c>
      <x:c r="I35" s="6" t="n">
        <x:v>6</x:v>
      </x:c>
      <x:c r="J35" s="6" t="str">
        <x:v>Jeskai Momo</x:v>
      </x:c>
      <x:c r="K35" s="6" t="str">
        <x:v>olbeda</x:v>
      </x:c>
      <x:c r="L35" s="6" t="str">
        <x:v>deck:1eedf5459507770b0502</x:v>
      </x:c>
    </x:row>
    <x:row r="36" ht="27" customHeight="1">
      <x:c r="A36" s="6" t="str">
        <x:v>FEATURED</x:v>
      </x:c>
      <x:c r="B36" s="6" t="str">
        <x:v>2026-W33</x:v>
      </x:c>
      <x:c r="C36" s="6" t="str">
        <x:v>standard</x:v>
      </x:c>
      <x:c r="D36" s="6" t="str">
        <x:v>Selesnya Landfall · fried-liver-attack · 第7名</x:v>
      </x:c>
      <x:c r="E36" s="6" t="str">
        <x:v>Selesnya Landfall · fried-liver-attack · Rank 7</x:v>
      </x:c>
      <x:c r="F36" s="6" t="str">
        <x:v>https://jacelber.github.io/mtgo-data/index.html?format=standard&amp;product=mtgo-top8&amp;week=2026-W33&amp;detail=12851628%3A7&amp;lang=zh</x:v>
      </x:c>
      <x:c r="G36" s="6" t="str">
        <x:v>Standard Challenge 32 · 12851628</x:v>
      </x:c>
      <x:c r="H36" s="6" t="str">
        <x:v>2026-08-13</x:v>
      </x:c>
      <x:c r="I36" s="6" t="n">
        <x:v>7</x:v>
      </x:c>
      <x:c r="J36" s="6" t="str">
        <x:v>Selesnya Landfall</x:v>
      </x:c>
      <x:c r="K36" s="6" t="str">
        <x:v>fried-liver-attack</x:v>
      </x:c>
      <x:c r="L36" s="6" t="str">
        <x:v>deck:8b76fae6e748885f7135</x:v>
      </x:c>
    </x:row>
    <x:row r="37" ht="27" customHeight="1">
      <x:c r="A37" s="6" t="str">
        <x:v>FEATURED</x:v>
      </x:c>
      <x:c r="B37" s="6" t="str">
        <x:v>2026-W33</x:v>
      </x:c>
      <x:c r="C37" s="6" t="str">
        <x:v>modern</x:v>
      </x:c>
      <x:c r="D37" s="6" t="str">
        <x:v>Jeskai Energy · TrueHero · 第1名</x:v>
      </x:c>
      <x:c r="E37" s="6" t="str">
        <x:v>Jeskai Energy · TrueHero · Rank 1</x:v>
      </x:c>
      <x:c r="F37" s="6" t="str">
        <x:v>https://jacelber.github.io/mtgo-data/index.html?format=modern&amp;product=mtgo-top8&amp;week=2026-W33&amp;detail=12851608%3A1&amp;lang=zh</x:v>
      </x:c>
      <x:c r="G37" s="6" t="str">
        <x:v>Modern RC Super Qualifier · 12851608</x:v>
      </x:c>
      <x:c r="H37" s="6" t="str">
        <x:v>2026-08-15</x:v>
      </x:c>
      <x:c r="I37" s="6" t="n">
        <x:v>1</x:v>
      </x:c>
      <x:c r="J37" s="6" t="str">
        <x:v>Jeskai Energy</x:v>
      </x:c>
      <x:c r="K37" s="6" t="str">
        <x:v>TrueHero</x:v>
      </x:c>
      <x:c r="L37" s="6" t="str">
        <x:v>deck:af10094d2257be87dcfd</x:v>
      </x:c>
    </x:row>
    <x:row r="38" ht="27" customHeight="1">
      <x:c r="A38" s="6" t="str">
        <x:v>FEATURED</x:v>
      </x:c>
      <x:c r="B38" s="6" t="str">
        <x:v>2026-W33</x:v>
      </x:c>
      <x:c r="C38" s="6" t="str">
        <x:v>modern</x:v>
      </x:c>
      <x:c r="D38" s="6" t="str">
        <x:v>Boros Energy · fazparte · 第2名</x:v>
      </x:c>
      <x:c r="E38" s="6" t="str">
        <x:v>Boros Energy · fazparte · Rank 2</x:v>
      </x:c>
      <x:c r="F38" s="6" t="str">
        <x:v>https://jacelber.github.io/mtgo-data/index.html?format=modern&amp;product=mtgo-top8&amp;week=2026-W33&amp;detail=12851632%3A2&amp;lang=zh</x:v>
      </x:c>
      <x:c r="G38" s="6" t="str">
        <x:v>Modern Challenge 64 · 12851632</x:v>
      </x:c>
      <x:c r="H38" s="6" t="str">
        <x:v>2026-08-13</x:v>
      </x:c>
      <x:c r="I38" s="6" t="n">
        <x:v>2</x:v>
      </x:c>
      <x:c r="J38" s="6" t="str">
        <x:v>Boros Energy</x:v>
      </x:c>
      <x:c r="K38" s="6" t="str">
        <x:v>fazparte</x:v>
      </x:c>
      <x:c r="L38" s="6" t="str">
        <x:v>deck:ad346963fcf45a711737</x:v>
      </x:c>
    </x:row>
  </x:sheetData>
  <x:mergeCells>
    <x:mergeCell ref="A1:F1"/>
    <x:mergeCell ref="A2:F2"/>
    <x:mergeCell ref="A18:L18"/>
    <x:mergeCell ref="A19:L19"/>
  </x:mergeCells>
  <x:dataValidations count="2">
    <x:dataValidation type="list" sqref="A5:A204">
      <x:formula1>"KEEP,PENDING,DROP,ADD"</x:formula1>
    </x:dataValidation>
    <x:dataValidation type="list" sqref="C5:C204">
      <x:formula1>"standard,modern"</x:formula1>
    </x:dataValidation>
  </x:dataValidations>
  <x:pageMargins left="0.7" right="0.7" top="0.75" bottom="0.75" header="0.3" footer="0.3"/>
</x:worksheet>
</file>

<file path=xl/worksheets/sheet3.xml><?xml version="1.0" encoding="utf-8"?>
<x:worksheet xmlns:x="http://schemas.openxmlformats.org/spreadsheetml/2006/main">
  <x:sheetViews>
    <x:sheetView showGridLines="0" workbookViewId="0"/>
  </x:sheetViews>
  <x:sheetFormatPr defaultColWidth="9" defaultRowHeight="14"/>
  <x:cols>
    <x:col min="1" max="2" width="11.25" customWidth="1"/>
    <x:col min="3" max="3" width="10" hidden="0" customWidth="1"/>
    <x:col min="4" max="4" width="14.380000114440918" hidden="0" customWidth="1"/>
    <x:col min="5" max="5" width="22.5" hidden="0" customWidth="1"/>
    <x:col min="6" max="6" width="11.880000114440918" hidden="0" customWidth="1"/>
    <x:col min="7" max="7" width="6.880000114440918" hidden="0" customWidth="1"/>
    <x:col min="8" max="8" width="18.75" hidden="0" customWidth="1"/>
    <x:col min="9" max="9" width="18.75" hidden="0" customWidth="1"/>
    <x:col min="10" max="10" width="19.3799991607666" hidden="0" customWidth="1"/>
    <x:col min="11" max="11" width="15" hidden="0" customWidth="1"/>
    <x:col min="12" max="12" width="23.75" hidden="0" customWidth="1"/>
    <x:col min="13" max="13" width="32.5" hidden="0" customWidth="1"/>
    <x:col min="14" max="14" width="37.5" hidden="0" customWidth="1"/>
    <x:col min="15" max="18" width="18.75" customWidth="1"/>
    <x:col min="19" max="20" width="32.5" customWidth="1"/>
    <x:col min="21" max="21" width="52.5" hidden="0" customWidth="1"/>
    <x:col min="22" max="22" width="45" hidden="0" customWidth="1"/>
    <x:col min="23" max="23" width="18.1299991607666" hidden="0" customWidth="1"/>
    <x:col min="24" max="24" width="19.3799991607666" hidden="0" customWidth="1"/>
    <x:col min="1" max="1" width="11.25" hidden="0" customWidth="1"/>
    <x:col min="2" max="2" width="11.25" hidden="0" customWidth="1"/>
    <x:col min="15" max="15" width="18.75" hidden="0" customWidth="1"/>
    <x:col min="16" max="16" width="18.75" hidden="0" customWidth="1"/>
    <x:col min="17" max="17" width="18.75" hidden="0" customWidth="1"/>
    <x:col min="18" max="18" width="18.75" hidden="0" customWidth="1"/>
    <x:col min="19" max="19" width="32.5" hidden="0" customWidth="1"/>
    <x:col min="20" max="20" width="32.5" hidden="0" customWidth="1"/>
  </x:cols>
  <x:sheetData>
    <x:row r="1" ht="25.5" customHeight="1">
      <x:c r="A1" s="17" t="str">
        <x:v>P12-15B · Featured Decks · editable Landing feature recovery</x:v>
      </x:c>
      <x:c r="B1" s="20"/>
      <x:c r="C1" s="20"/>
      <x:c r="D1" s="20"/>
      <x:c r="E1" s="20"/>
      <x:c r="F1" s="20"/>
      <x:c r="G1" s="20"/>
      <x:c r="H1" s="20"/>
      <x:c r="I1" s="20"/>
      <x:c r="J1" s="20"/>
      <x:c r="K1" s="20"/>
      <x:c r="L1" s="20"/>
      <x:c r="M1" s="20"/>
      <x:c r="N1" s="20"/>
      <x:c r="O1" s="20"/>
      <x:c r="P1" s="20"/>
      <x:c r="Q1" s="20"/>
      <x:c r="R1" s="20"/>
      <x:c r="S1" s="20"/>
      <x:c r="T1" s="20"/>
      <x:c r="U1" s="20"/>
      <x:c r="V1" s="20"/>
      <x:c r="W1" s="20"/>
      <x:c r="X1" s="20"/>
    </x:row>
    <x:row r="2" ht="37.5" customHeight="1">
      <x:c r="A2" s="21" t="str">
        <x:v>Feature 顺序不再人工填写：每个赛制先显示新套牌，再显示新科技；同一类别按 Landing 顶端 KEEP 正文中的 Deck Link ID 出现顺序排列，同一行从左到右；正文未出现的 Feature 自动追加在该类别末尾。中英文套牌名为只读派生字段，P12-15C 补齐双语目录前中文暂用英文回退。黄色仅保留实际需要用户输入或审核的字段。</x:v>
      </x:c>
      <x:c r="B2" s="21"/>
      <x:c r="C2" s="21"/>
      <x:c r="D2" s="21"/>
      <x:c r="E2" s="21"/>
      <x:c r="F2" s="21"/>
      <x:c r="G2" s="21"/>
      <x:c r="H2" s="21"/>
      <x:c r="I2" s="21"/>
      <x:c r="J2" s="21"/>
      <x:c r="K2" s="21"/>
      <x:c r="L2" s="21"/>
      <x:c r="M2" s="21"/>
      <x:c r="N2" s="21"/>
      <x:c r="O2" s="21"/>
      <x:c r="P2" s="21"/>
      <x:c r="Q2" s="21"/>
      <x:c r="R2" s="21"/>
      <x:c r="S2" s="21"/>
      <x:c r="T2" s="21"/>
      <x:c r="U2" s="21"/>
      <x:c r="V2" s="21"/>
      <x:c r="W2" s="21"/>
      <x:c r="X2" s="21"/>
    </x:row>
    <x:row r="4" ht="24" customHeight="1">
      <x:c r="A4" s="25" t="str">
        <x:v>Selection</x:v>
      </x:c>
      <x:c r="B4" s="25" t="str">
        <x:v>Feature Week</x:v>
      </x:c>
      <x:c r="C4" s="25" t="str">
        <x:v>Format</x:v>
      </x:c>
      <x:c r="D4" s="25" t="str">
        <x:v>Category</x:v>
      </x:c>
      <x:c r="E4" s="25" t="str">
        <x:v>Event</x:v>
      </x:c>
      <x:c r="F4" s="25" t="str">
        <x:v>Date</x:v>
      </x:c>
      <x:c r="G4" s="25" t="str">
        <x:v>Rank</x:v>
      </x:c>
      <x:c r="H4" s="25" t="str">
        <x:v>Deck Name EN</x:v>
      </x:c>
      <x:c r="I4" s="25" t="str">
        <x:v>Deck Name ZH</x:v>
      </x:c>
      <x:c r="J4" s="25" t="str">
        <x:v>Name Status</x:v>
      </x:c>
      <x:c r="K4" s="25" t="str">
        <x:v>Player</x:v>
      </x:c>
      <x:c r="L4" s="25" t="str">
        <x:v>Deck Link ID</x:v>
      </x:c>
      <x:c r="M4" s="25" t="str">
        <x:v>Machine Reasons</x:v>
      </x:c>
      <x:c r="N4" s="25" t="str">
        <x:v>Chinese Positioning</x:v>
      </x:c>
      <x:c r="O4" s="25" t="str">
        <x:v>Featured Card 1</x:v>
      </x:c>
      <x:c r="P4" s="25" t="str">
        <x:v>Featured Card 2</x:v>
      </x:c>
      <x:c r="Q4" s="25" t="str">
        <x:v>Featured Card 3</x:v>
      </x:c>
      <x:c r="R4" s="25" t="str">
        <x:v>Featured Card 4</x:v>
      </x:c>
      <x:c r="S4" s="25" t="str">
        <x:v>English Draft</x:v>
      </x:c>
      <x:c r="T4" s="25" t="str">
        <x:v>English Final</x:v>
      </x:c>
      <x:c r="U4" s="25" t="str">
        <x:v>Main Deck</x:v>
      </x:c>
      <x:c r="V4" s="25" t="str">
        <x:v>Sideboard</x:v>
      </x:c>
      <x:c r="W4" s="25" t="str">
        <x:v>Chinese / Input Check</x:v>
      </x:c>
      <x:c r="X4" s="25" t="str">
        <x:v>English Check</x:v>
      </x:c>
    </x:row>
    <x:row r="5" ht="69" customHeight="1">
      <x:c r="A5" s="26" t="str">
        <x:v>DROP</x:v>
      </x:c>
      <x:c r="B5" s="27" t="str">
        <x:v>2026-W27</x:v>
      </x:c>
      <x:c r="C5" s="27" t="str">
        <x:v>standard</x:v>
      </x:c>
      <x:c r="D5" s="26" t="str">
        <x:v>new_technology</x:v>
      </x:c>
      <x:c r="E5" s="27" t="str">
        <x:v>Standard Challenge 32 · 12846474</x:v>
      </x:c>
      <x:c r="F5" s="27" t="str">
        <x:v>2026-07-03</x:v>
      </x:c>
      <x:c r="G5" s="27" t="n">
        <x:v>2</x:v>
      </x:c>
      <x:c r="H5" s="27" t="str">
        <x:v>4-Color Tablet</x:v>
      </x:c>
      <x:c r="I5" s="27" t="str">
        <x:v>4-Color Tablet</x:v>
      </x:c>
      <x:c r="J5" s="28" t="str">
        <x:v>ENGLISH FALLBACK · P12-15C</x:v>
      </x:c>
      <x:c r="K5" s="27" t="str">
        <x:v>_Batutinha_</x:v>
      </x:c>
      <x:c r="L5" s="27" t="str">
        <x:v>deck:b1b5dae4c06b9e421756</x:v>
      </x:c>
      <x:c r="M5" s="27" t="str">
        <x:v>旧版已发布 Pickup；legacy existing change；deviation=40</x:v>
      </x:c>
      <x:c r="N5" s="26" t="str">
        <x:v>33333</x:v>
      </x:c>
      <x:c r="O5" s="26"/>
      <x:c r="P5" s="26"/>
      <x:c r="Q5" s="26"/>
      <x:c r="R5" s="26"/>
      <x:c r="S5" s="30"/>
      <x:c r="T5" s="26"/>
      <x:c r="U5" s="27" t="str">
        <x:v>3× Bleachbone Verge; 4× Blood Crypt; 2× Consult the Star Charts; 2× Deadly Cover-Up; 2× Duress; 2× Firebending Lesson; 2× Flashback; 4× Great Hall of the Biblioplex; 4× Inevitable Defeat; 4× Jeskai Revelation; 1× Mistrise Village; 2× Nowhere to Run; 1× Plains; 3× Riverpyre Verge; 2× Sacred Foundry; 2× Sear; 2× Shattered Sanctum; 2× Starting Town; 1× Steam Vents; 4× Stock Up; 2× Strategic Betrayal; 1× Swamp; 4× Tablet of Discovery; 2× Together as One; 2× Undercity Sewers</x:v>
      </x:c>
      <x:c r="V5" s="27" t="str">
        <x:v>1× Day of Black Sun; 2× Deadly Cover-Up; 1× Disdainful Stroke; 2× Duress; 2× Flashfreeze; 1× Mistrise Village; 1× Nowhere to Run; 1× Outrageous Robbery; 1× Pest Control; 2× Ral, Crackling Wit; 1× Return the Favor</x:v>
      </x:c>
      <x:c r="W5" s="28" t="str">
        <x:f t="shared" ref="W5:W21" si="0">IF(A5&lt;&gt;"KEEP","NOT SELECTED",IF(OR(D5="",N5="",O5="",P5="",Q5="",R5=""),"NEEDS INPUT","READY"))</x:f>
        <x:v>NOT SELECTED</x:v>
      </x:c>
      <x:c r="X5" s="28" t="str">
        <x:f t="shared" ref="X5:X21" si="1">IF(A5&lt;&gt;"KEEP","NOT SELECTED",IF(S5="","NEEDS P12-15C DRAFT",IF(T5="","NEEDS OWNER REVIEW","READY")))</x:f>
        <x:v>NOT SELECTED</x:v>
      </x:c>
    </x:row>
    <x:row r="6" ht="69" customHeight="1">
      <x:c r="A6" s="26" t="str">
        <x:v>KEEP</x:v>
      </x:c>
      <x:c r="B6" s="27" t="str">
        <x:v>2026-W33</x:v>
      </x:c>
      <x:c r="C6" s="27" t="str">
        <x:v>standard</x:v>
      </x:c>
      <x:c r="D6" s="26" t="str">
        <x:v>new_deck</x:v>
      </x:c>
      <x:c r="E6" s="27" t="str">
        <x:v>Standard Challenge 32 · 12851659</x:v>
      </x:c>
      <x:c r="F6" s="27" t="str">
        <x:v>2026-08-15</x:v>
      </x:c>
      <x:c r="G6" s="27" t="n">
        <x:v>3</x:v>
      </x:c>
      <x:c r="H6" s="27" t="str">
        <x:v>Grixis Tablet</x:v>
      </x:c>
      <x:c r="I6" s="27" t="str">
        <x:v>Grixis Tablet</x:v>
      </x:c>
      <x:c r="J6" s="28" t="str">
        <x:v>ENGLISH FALLBACK · P12-15C</x:v>
      </x:c>
      <x:c r="K6" s="27" t="str">
        <x:v>auzzie51</x:v>
      </x:c>
      <x:c r="L6" s="27" t="str">
        <x:v>deck:96b30d5e076425e95de6</x:v>
      </x:c>
      <x:c r="M6" s="27" t="str">
        <x:v>新 Archetype</x:v>
      </x:c>
      <x:c r="N6" s="26" t="str">
        <x:v>格利极色组的石板控制，这个构组更偏向炸地思路，配合非凡龙。</x:v>
      </x:c>
      <x:c r="O6" s="26" t="str">
        <x:v>Avengers Disassembled</x:v>
      </x:c>
      <x:c r="P6" s="26" t="str">
        <x:v>Price of Freedom</x:v>
      </x:c>
      <x:c r="Q6" s="26" t="str">
        <x:v>Fin Fang Foom</x:v>
      </x:c>
      <x:c r="R6" s="26" t="str">
        <x:v>Tablet of Discovery</x:v>
      </x:c>
      <x:c r="S6" s="30"/>
      <x:c r="T6" s="26"/>
      <x:c r="U6" s="27" t="str">
        <x:v>1× Abrade; 4× Avengers Disassembled; 3× Bitter Triumph; 4× Blazemire Verge; 4× Blood Crypt; 2× Consult the Star Charts; 2× Deadly Cover-Up; 2× Duress; 2× Fin Fang Foom; 1× Gloomlake Verge; 3× Great Hall of the Biblioplex; 1× Island; 1× Mountain; 2× Multiversal Passage; 1× Outrageous Robbery; 4× Price of Freedom; 3× Requiting Hex; 3× Steam Vents; 4× Stock Up; 1× Stormcarved Coast; 1× Swamp; 4× Tablet of Discovery; 2× Thor, God of Thunder; 1× Together as One; 4× Watery Grave</x:v>
      </x:c>
      <x:c r="V6" s="27" t="str">
        <x:v>1× Ancient Vendetta; 2× Day of Black Sun; 1× Deadly Cover-Up; 1× Duress; 1× Flashback; 2× Flashfreeze; 2× Ghost Vacuum; 1× Negate; 1× Outrageous Robbery; 1× Shoot the Sheriff; 2× Strategic Betrayal</x:v>
      </x:c>
      <x:c r="W6" s="28" t="str">
        <x:f t="shared" si="0">IF(A6&lt;&gt;"KEEP","NOT SELECTED",IF(OR(D6="",N6="",O6="",P6="",Q6="",R6=""),"NEEDS INPUT","READY"))</x:f>
        <x:v>READY</x:v>
      </x:c>
      <x:c r="X6" s="28" t="str">
        <x:f t="shared" si="1">IF(A6&lt;&gt;"KEEP","NOT SELECTED",IF(S6="","NEEDS P12-15C DRAFT",IF(T6="","NEEDS OWNER REVIEW","READY")))</x:f>
        <x:v>NEEDS P12-15C DRAFT</x:v>
      </x:c>
    </x:row>
    <x:row r="7" ht="69" customHeight="1">
      <x:c r="A7" s="26" t="str">
        <x:v>KEEP</x:v>
      </x:c>
      <x:c r="B7" s="27" t="str">
        <x:v>2026-W33</x:v>
      </x:c>
      <x:c r="C7" s="27" t="str">
        <x:v>standard</x:v>
      </x:c>
      <x:c r="D7" s="26" t="str">
        <x:v>new_technology</x:v>
      </x:c>
      <x:c r="E7" s="27" t="str">
        <x:v>Standard Challenge 32 · 12851664</x:v>
      </x:c>
      <x:c r="F7" s="27" t="str">
        <x:v>2026-08-15</x:v>
      </x:c>
      <x:c r="G7" s="27" t="n">
        <x:v>1</x:v>
      </x:c>
      <x:c r="H7" s="27" t="str">
        <x:v>Jeskai Lessons</x:v>
      </x:c>
      <x:c r="I7" s="27" t="str">
        <x:v>Jeskai Lessons</x:v>
      </x:c>
      <x:c r="J7" s="28" t="str">
        <x:v>ENGLISH FALLBACK · P12-15C</x:v>
      </x:c>
      <x:c r="K7" s="27" t="str">
        <x:v>J_tekt</x:v>
      </x:c>
      <x:c r="L7" s="27" t="str">
        <x:v>deck:0ef7de8666929e404c95</x:v>
      </x:c>
      <x:c r="M7" s="27" t="str">
        <x:v>Landing 顶端正文已引用该精确牌表；按 Owner 硬规则必须同时进入底部 Feature。Category 仍由 Owner 确认。</x:v>
      </x:c>
      <x:c r="N7" s="26" t="str">
        <x:v>石板课在禁了奶奶之后，还以洁斯凯形态存在，并可以席卷两场。该牌表使用艺术家才能弥补失去奶奶后的爆发力。</x:v>
      </x:c>
      <x:c r="O7" s="26" t="str">
        <x:v>Artist's Talent</x:v>
      </x:c>
      <x:c r="P7" s="26" t="str">
        <x:v>Tablet of Discovery</x:v>
      </x:c>
      <x:c r="Q7" s="26" t="str">
        <x:v>Jeskai Revelation</x:v>
      </x:c>
      <x:c r="R7" s="26" t="str">
        <x:v>Firebending Lesson</x:v>
      </x:c>
      <x:c r="S7" s="30"/>
      <x:c r="T7" s="26"/>
      <x:c r="U7" s="27" t="str">
        <x:v>3× Abandon Attachments; 4× Accumulate Wisdom; 2× Avengers Disassembled; 4× Combustion Technique; 1× Sundown Pass; 4× Firebending Lesson; 4× Great Hall of the Biblioplex; 1× Three Steps Ahead; 4× Steam Vents; 4× Jeskai Revelation; 2× It'll Quench Ya!; 1× Island; 2× Petrified Hamlet; 1× Mountain; 3× Stock Up; 4× Tablet of Discovery; 2× Thor, God of Thunder; 2× Hallowed Fountain; 1× Iroh's Demonstration; 3× Riverpyre Verge; 4× Spirebluff Canal; 2× Artist's Talent; 1× Mistrise Village; 1× Spell Snare</x:v>
      </x:c>
      <x:c r="V7" s="27" t="str">
        <x:v>1× Disdainful Stroke; 1× Emeritus of Ideation; 1× Erode; 4× Price of Freedom; 3× Flashfreeze; 1× Negate; 1× Petrified Hamlet; 1× Fire Magic; 2× Wan Shi Tong, Librarian</x:v>
      </x:c>
      <x:c r="W7" s="28" t="str">
        <x:f t="shared" si="0">IF(A7&lt;&gt;"KEEP","NOT SELECTED",IF(OR(D7="",N7="",O7="",P7="",Q7="",R7=""),"NEEDS INPUT","READY"))</x:f>
        <x:v>READY</x:v>
      </x:c>
      <x:c r="X7" s="28" t="str">
        <x:f t="shared" si="1">IF(A7&lt;&gt;"KEEP","NOT SELECTED",IF(S7="","NEEDS P12-15C DRAFT",IF(T7="","NEEDS OWNER REVIEW","READY")))</x:f>
        <x:v>NEEDS P12-15C DRAFT</x:v>
      </x:c>
    </x:row>
    <x:row r="8" ht="69" customHeight="1">
      <x:c r="A8" s="26" t="str">
        <x:v>KEEP</x:v>
      </x:c>
      <x:c r="B8" s="27" t="str">
        <x:v>2026-W33</x:v>
      </x:c>
      <x:c r="C8" s="27" t="str">
        <x:v>standard</x:v>
      </x:c>
      <x:c r="D8" s="26" t="str">
        <x:v>new_technology</x:v>
      </x:c>
      <x:c r="E8" s="27" t="str">
        <x:v>Standard Challenge 32 · 12851611</x:v>
      </x:c>
      <x:c r="F8" s="27" t="str">
        <x:v>2026-08-11</x:v>
      </x:c>
      <x:c r="G8" s="27" t="n">
        <x:v>1</x:v>
      </x:c>
      <x:c r="H8" s="27" t="str">
        <x:v>Mono-Green Landfall</x:v>
      </x:c>
      <x:c r="I8" s="27" t="str">
        <x:v>Mono-Green Landfall</x:v>
      </x:c>
      <x:c r="J8" s="28" t="str">
        <x:v>ENGLISH FALLBACK · P12-15C</x:v>
      </x:c>
      <x:c r="K8" s="27" t="str">
        <x:v>Brasatore</x:v>
      </x:c>
      <x:c r="L8" s="27" t="str">
        <x:v>deck:113f08b5c4dcc7b5e1ce</x:v>
      </x:c>
      <x:c r="M8" s="27" t="str">
        <x:v>Landing 顶端正文已引用该精确牌表；按 Owner 硬规则必须同时进入底部 Feature。Category 仍由 Owner 确认。</x:v>
      </x:c>
      <x:c r="N8" s="26" t="str">
        <x:v>禁牌后的纯绿地落席卷版本之一，用鼹鼠人和比利填补威威獭留下的位置。</x:v>
      </x:c>
      <x:c r="O8" s="26" t="str">
        <x:v>Mole Man, Moloid Master</x:v>
      </x:c>
      <x:c r="P8" s="26" t="str">
        <x:v>Bristly Bill, Spine Sower</x:v>
      </x:c>
      <x:c r="Q8" s="26" t="str">
        <x:v>Earthbender Ascension</x:v>
      </x:c>
      <x:c r="R8" s="26" t="str">
        <x:v>Sazh's Chocobo</x:v>
      </x:c>
      <x:c r="S8" s="30"/>
      <x:c r="T8" s="26"/>
      <x:c r="U8" s="27" t="str">
        <x:v>4× Ba Sing Se; 4× Esper Origins; 4× Escape Tunnel; 4× Fabled Passage; 4× Icetill Explorer; 2× Mole Man, Moloid Master; 4× Sazh's Chocobo; 14× Forest; 4× Mightform Harmonizer; 2× Sapling Nursery; 4× Earthbender Ascension; 2× Bristly Bill, Spine Sower; 4× Llanowar Elves; 4× Meltstrider's Resolve</x:v>
      </x:c>
      <x:c r="V8" s="27" t="str">
        <x:v>2× Surrak, Elusive Hunter; 4× Soul-Guide Lantern; 4× Mossborn Hydra; 1× Sapling Nursery; 4× Heritage Reclamation</x:v>
      </x:c>
      <x:c r="W8" s="28" t="str">
        <x:f t="shared" si="0">IF(A8&lt;&gt;"KEEP","NOT SELECTED",IF(OR(D8="",N8="",O8="",P8="",Q8="",R8=""),"NEEDS INPUT","READY"))</x:f>
        <x:v>READY</x:v>
      </x:c>
      <x:c r="X8" s="28" t="str">
        <x:f t="shared" si="1">IF(A8&lt;&gt;"KEEP","NOT SELECTED",IF(S8="","NEEDS P12-15C DRAFT",IF(T8="","NEEDS OWNER REVIEW","READY")))</x:f>
        <x:v>NEEDS P12-15C DRAFT</x:v>
      </x:c>
    </x:row>
    <x:row r="9" ht="69" customHeight="1">
      <x:c r="A9" s="26" t="str">
        <x:v>KEEP</x:v>
      </x:c>
      <x:c r="B9" s="27" t="str">
        <x:v>2026-W33</x:v>
      </x:c>
      <x:c r="C9" s="27" t="str">
        <x:v>standard</x:v>
      </x:c>
      <x:c r="D9" s="26" t="str">
        <x:v>new_technology</x:v>
      </x:c>
      <x:c r="E9" s="27" t="str">
        <x:v>Standard Challenge 32 · 12851684</x:v>
      </x:c>
      <x:c r="F9" s="27" t="str">
        <x:v>2026-08-16</x:v>
      </x:c>
      <x:c r="G9" s="27" t="n">
        <x:v>1</x:v>
      </x:c>
      <x:c r="H9" s="27" t="str">
        <x:v>Mono-Green Landfall</x:v>
      </x:c>
      <x:c r="I9" s="27" t="str">
        <x:v>Mono-Green Landfall</x:v>
      </x:c>
      <x:c r="J9" s="28" t="str">
        <x:v>ENGLISH FALLBACK · P12-15C</x:v>
      </x:c>
      <x:c r="K9" s="27" t="str">
        <x:v>Scorpion100</x:v>
      </x:c>
      <x:c r="L9" s="27" t="str">
        <x:v>deck:3b20a57979ef845780d2</x:v>
      </x:c>
      <x:c r="M9" s="27" t="str">
        <x:v>Landing 顶端正文已引用该精确牌表；按 Owner 硬规则必须同时进入底部 Feature。Category 仍由 Owner 确认。</x:v>
      </x:c>
      <x:c r="N9" s="29" t="str">
        <x:v>禁牌后的纯绿地落席卷版本之一，用两费 Ramp 同根共生和锐目鉴物客填补威威獭留下的位置。</x:v>
      </x:c>
      <x:c r="O9" s="26" t="str">
        <x:v>Shared Roots</x:v>
      </x:c>
      <x:c r="P9" s="26" t="str">
        <x:v>Keen-Eyed Curator</x:v>
      </x:c>
      <x:c r="Q9" s="26" t="str">
        <x:v>Earthbender Ascension</x:v>
      </x:c>
      <x:c r="R9" s="26" t="str">
        <x:v>Sazh's Chocobo</x:v>
      </x:c>
      <x:c r="S9" s="30"/>
      <x:c r="T9" s="26"/>
      <x:c r="U9" s="27" t="str">
        <x:v>3× Ba Sing Se; 4× Esper Origins; 4× Fabled Passage; 4× Icetill Explorer; 4× Escape Tunnel; 4× Earthbender Ascension; 1× Meltstrider's Resolve; 3× Mightform Harmonizer; 1× Royal Treatment; 1× Demolition Field; 4× Sazh's Chocobo; 2× Shared Roots; 1× Surrak, Elusive Hunter; 14× Forest; 2× Keen-Eyed Curator; 4× Llanowar Elves; 4× Sapling Nursery</x:v>
      </x:c>
      <x:c r="V9" s="27" t="str">
        <x:v>3× Torpor Orb; 1× Leatherhead, Swamp Stalker; 2× Meltstrider's Resolve; 2× Soul-Guide Lantern; 4× Mossborn Hydra; 2× Surrak, Elusive Hunter; 1× Keen-Eyed Curator</x:v>
      </x:c>
      <x:c r="W9" s="28" t="str">
        <x:f t="shared" si="0">IF(A9&lt;&gt;"KEEP","NOT SELECTED",IF(OR(D9="",N9="",O9="",P9="",Q9="",R9=""),"NEEDS INPUT","READY"))</x:f>
        <x:v>READY</x:v>
      </x:c>
      <x:c r="X9" s="28" t="str">
        <x:f t="shared" si="1">IF(A9&lt;&gt;"KEEP","NOT SELECTED",IF(S9="","NEEDS P12-15C DRAFT",IF(T9="","NEEDS OWNER REVIEW","READY")))</x:f>
        <x:v>NEEDS P12-15C DRAFT</x:v>
      </x:c>
    </x:row>
    <x:row r="10" ht="69" customHeight="1">
      <x:c r="A10" s="26" t="str">
        <x:v>KEEP</x:v>
      </x:c>
      <x:c r="B10" s="27" t="str">
        <x:v>2026-W33</x:v>
      </x:c>
      <x:c r="C10" s="27" t="str">
        <x:v>standard</x:v>
      </x:c>
      <x:c r="D10" s="26" t="str">
        <x:v>new_technology</x:v>
      </x:c>
      <x:c r="E10" s="27" t="str">
        <x:v>Standard Challenge 32 · 12851641</x:v>
      </x:c>
      <x:c r="F10" s="27" t="str">
        <x:v>2026-08-14</x:v>
      </x:c>
      <x:c r="G10" s="27" t="n">
        <x:v>1</x:v>
      </x:c>
      <x:c r="H10" s="27" t="str">
        <x:v>Dimir Midrange</x:v>
      </x:c>
      <x:c r="I10" s="27" t="str">
        <x:v>Dimir Midrange</x:v>
      </x:c>
      <x:c r="J10" s="28" t="str">
        <x:v>ENGLISH FALLBACK · P12-15C</x:v>
      </x:c>
      <x:c r="K10" s="27" t="str">
        <x:v>claudioh</x:v>
      </x:c>
      <x:c r="L10" s="27" t="str">
        <x:v>deck:6552a16bef7fa5293b5d</x:v>
      </x:c>
      <x:c r="M10" s="27" t="str">
        <x:v>占比大幅提升（自动阈值：较前四周平均 +5 个百分点）</x:v>
      </x:c>
      <x:c r="N10" s="29" t="str">
        <x:v>禁牌后重新回到环境顶端</x:v>
      </x:c>
      <x:c r="O10" s="26" t="str">
        <x:v>The Wondrous Wasp</x:v>
      </x:c>
      <x:c r="P10" s="26" t="str">
        <x:v>We Say Thee Nay!</x:v>
      </x:c>
      <x:c r="Q10" s="26" t="str">
        <x:v>Dream Beavers</x:v>
      </x:c>
      <x:c r="R10" s="26" t="str">
        <x:v>Kaito, Bane of Nightmares</x:v>
      </x:c>
      <x:c r="S10" s="30"/>
      <x:c r="T10" s="26"/>
      <x:c r="U10" s="27" t="str">
        <x:v>2× Bitter Triumph; 4× Dream Beavers; 4× Enduring Curiosity; 4× Floodpits Drowner; 4× Gloomlake Verge; 3× Hidden Lair; 5× Island; 4× Kaito, Bane of Nightmares; 4× Requiting Hex; 2× Restless Reef; 2× Shoot the Sheriff; 2× Soulstone Sanctuary; 1× Spell Pierce; 1× Spell Snare; 4× Spyglass Siren; 3× Swamp; 2× The Wondrous Wasp; 2× Tishana's Tidebinder; 1× Wan Shi Tong, Librarian; 4× Watery Grave; 2× We Say Thee Nay!</x:v>
      </x:c>
      <x:c r="V10" s="27" t="str">
        <x:v>2× Annul; 1× Disdainful Stroke; 4× Duress; 2× Flashfreeze; 2× Raven Eagle; 2× Strategic Betrayal; 1× The Ooze; 1× Wan Shi Tong, Librarian</x:v>
      </x:c>
      <x:c r="W10" s="28" t="str">
        <x:f t="shared" si="0">IF(A10&lt;&gt;"KEEP","NOT SELECTED",IF(OR(D10="",N10="",O10="",P10="",Q10="",R10=""),"NEEDS INPUT","READY"))</x:f>
        <x:v>READY</x:v>
      </x:c>
      <x:c r="X10" s="28" t="str">
        <x:f t="shared" si="1">IF(A10&lt;&gt;"KEEP","NOT SELECTED",IF(S10="","NEEDS P12-15C DRAFT",IF(T10="","NEEDS OWNER REVIEW","READY")))</x:f>
        <x:v>NEEDS P12-15C DRAFT</x:v>
      </x:c>
    </x:row>
    <x:row r="11" ht="69" customHeight="1">
      <x:c r="A11" s="26" t="str">
        <x:v>KEEP</x:v>
      </x:c>
      <x:c r="B11" s="27" t="str">
        <x:v>2026-W33</x:v>
      </x:c>
      <x:c r="C11" s="27" t="str">
        <x:v>standard</x:v>
      </x:c>
      <x:c r="D11" s="26" t="str">
        <x:v>new_technology</x:v>
      </x:c>
      <x:c r="E11" s="27" t="str">
        <x:v>Standard Challenge 32 · 12851659</x:v>
      </x:c>
      <x:c r="F11" s="27" t="str">
        <x:v>2026-08-15</x:v>
      </x:c>
      <x:c r="G11" s="27" t="n">
        <x:v>5</x:v>
      </x:c>
      <x:c r="H11" s="27" t="str">
        <x:v>Dimir Midrange</x:v>
      </x:c>
      <x:c r="I11" s="27" t="str">
        <x:v>Dimir Midrange</x:v>
      </x:c>
      <x:c r="J11" s="28" t="str">
        <x:v>ENGLISH FALLBACK · P12-15C</x:v>
      </x:c>
      <x:c r="K11" s="27" t="str">
        <x:v>unagieel</x:v>
      </x:c>
      <x:c r="L11" s="27" t="str">
        <x:v>deck:cf1060bd38d38c8f161f</x:v>
      </x:c>
      <x:c r="M11" s="27" t="str">
        <x:v>新系列上线前两周使用新牌；构筑大幅变化</x:v>
      </x:c>
      <x:c r="N11" s="26" t="str">
        <x:v>满编The Sackville-Bagginses的蓝黑中速构筑，并加入了Infestation Sage进行配合。</x:v>
      </x:c>
      <x:c r="O11" s="26" t="str">
        <x:v>The Sackville-Bagginses</x:v>
      </x:c>
      <x:c r="P11" s="26" t="str">
        <x:v>Infestation Sage</x:v>
      </x:c>
      <x:c r="Q11" s="26" t="str">
        <x:v>Kaito, Bane of Nightmares</x:v>
      </x:c>
      <x:c r="R11" s="26" t="str">
        <x:v>Enduring Curiosity</x:v>
      </x:c>
      <x:c r="S11" s="30"/>
      <x:c r="T11" s="26"/>
      <x:c r="U11" s="27" t="str">
        <x:v>2× Bitter Triumph; 4× Enduring Curiosity; 4× Floodpits Drowner; 4× Gloomlake Verge; 3× Hidden Lair; 4× Infestation Sage; 5× Island; 4× Kaito, Bane of Nightmares; 4× Requiting Hex; 2× Restless Reef; 2× Shoot the Sheriff; 2× Soulstone Sanctuary; 1× Spell Pierce; 4× Spyglass Siren; 3× Swamp; 4× The Sackville-Bagginses; 1× The Wondrous Wasp; 1× Wan Shi Tong, Librarian; 4× Watery Grave; 2× We Say Thee Nay!</x:v>
      </x:c>
      <x:c r="V11" s="27" t="str">
        <x:v>2× Annul; 1× Disdainful Stroke; 4× Duress; 2× Flashfreeze; 3× Strategic Betrayal; 2× The Ooze; 1× Wan Shi Tong, Librarian</x:v>
      </x:c>
      <x:c r="W11" s="28" t="str">
        <x:f t="shared" si="0">IF(A11&lt;&gt;"KEEP","NOT SELECTED",IF(OR(D11="",N11="",O11="",P11="",Q11="",R11=""),"NEEDS INPUT","READY"))</x:f>
        <x:v>READY</x:v>
      </x:c>
      <x:c r="X11" s="28" t="str">
        <x:f t="shared" si="1">IF(A11&lt;&gt;"KEEP","NOT SELECTED",IF(S11="","NEEDS P12-15C DRAFT",IF(T11="","NEEDS OWNER REVIEW","READY")))</x:f>
        <x:v>NEEDS P12-15C DRAFT</x:v>
      </x:c>
    </x:row>
    <x:row r="12" ht="69" customHeight="1">
      <x:c r="A12" s="26" t="str">
        <x:v>KEEP</x:v>
      </x:c>
      <x:c r="B12" s="27" t="str">
        <x:v>2026-W33</x:v>
      </x:c>
      <x:c r="C12" s="27" t="str">
        <x:v>standard</x:v>
      </x:c>
      <x:c r="D12" s="26" t="str">
        <x:v>new_technology</x:v>
      </x:c>
      <x:c r="E12" s="27" t="str">
        <x:v>Standard Challenge 32 · 12851651</x:v>
      </x:c>
      <x:c r="F12" s="27" t="str">
        <x:v>2026-08-14</x:v>
      </x:c>
      <x:c r="G12" s="27" t="n">
        <x:v>1</x:v>
      </x:c>
      <x:c r="H12" s="27" t="str">
        <x:v>Orzhov Lifegain</x:v>
      </x:c>
      <x:c r="I12" s="27" t="str">
        <x:v>Orzhov Lifegain</x:v>
      </x:c>
      <x:c r="J12" s="28" t="str">
        <x:v>ENGLISH FALLBACK · P12-15C</x:v>
      </x:c>
      <x:c r="K12" s="27" t="str">
        <x:v>Traft</x:v>
      </x:c>
      <x:c r="L12" s="27" t="str">
        <x:v>deck:085fbae05701d25afeda</x:v>
      </x:c>
      <x:c r="M12" s="27" t="str">
        <x:v>占比大幅提升（自动阈值：较前四周平均 +5 个百分点）；构筑大幅变化</x:v>
      </x:c>
      <x:c r="N12" s="26" t="str">
        <x:v>和之前构筑不同，是满编Raise the Past的版本。本周席卷一场。</x:v>
      </x:c>
      <x:c r="O12" s="26" t="str">
        <x:v>Raise the Past</x:v>
      </x:c>
      <x:c r="P12" s="26" t="str">
        <x:v>Resolute Reinforcements</x:v>
      </x:c>
      <x:c r="Q12" s="26" t="str">
        <x:v>Amalia Benavides Aguirre</x:v>
      </x:c>
      <x:c r="R12" s="26" t="str">
        <x:v>Hinterland Sanctifier</x:v>
      </x:c>
      <x:c r="S12" s="30"/>
      <x:c r="T12" s="26"/>
      <x:c r="U12" s="27" t="str">
        <x:v>4× Amalia Benavides Aguirre; 2× Aunt May; 3× Bleachbone Verge; 4× Case of the Uneaten Feast; 4× Concealed Courtyard; 2× Dalkovan Encampment; 4× Godless Shrine; 2× Goldmeadow Nomad; 3× Haliya, Guided by Light; 4× Hinterland Sanctifier; 4× Lunar Convocation; 2× Moseo, Vein's New Dean; 3× Multiversal Passage; 6× Plains; 4× Raise the Past; 2× Resolute Reinforcements; 3× Starscape Cleric; 4× Voice of Victory</x:v>
      </x:c>
      <x:c r="V12" s="27" t="str">
        <x:v>2× Cathar Commando; 2× Dark Confidant; 3× Deep-Cavern Bat; 2× Erode; 2× Ghost Vacuum; 2× Kutzil's Flanker; 2× Requiting Hex</x:v>
      </x:c>
      <x:c r="W12" s="28" t="str">
        <x:f t="shared" si="0">IF(A12&lt;&gt;"KEEP","NOT SELECTED",IF(OR(D12="",N12="",O12="",P12="",Q12="",R12=""),"NEEDS INPUT","READY"))</x:f>
        <x:v>READY</x:v>
      </x:c>
      <x:c r="X12" s="28" t="str">
        <x:f t="shared" si="1">IF(A12&lt;&gt;"KEEP","NOT SELECTED",IF(S12="","NEEDS P12-15C DRAFT",IF(T12="","NEEDS OWNER REVIEW","READY")))</x:f>
        <x:v>NEEDS P12-15C DRAFT</x:v>
      </x:c>
    </x:row>
    <x:row r="13" ht="69" customHeight="1">
      <x:c r="A13" s="26" t="str">
        <x:v>KEEP</x:v>
      </x:c>
      <x:c r="B13" s="27" t="str">
        <x:v>2026-W33</x:v>
      </x:c>
      <x:c r="C13" s="27" t="str">
        <x:v>standard</x:v>
      </x:c>
      <x:c r="D13" s="26" t="str">
        <x:v>new_technology</x:v>
      </x:c>
      <x:c r="E13" s="27" t="str">
        <x:v>Standard Challenge 32 · 12851651</x:v>
      </x:c>
      <x:c r="F13" s="27" t="str">
        <x:v>2026-08-14</x:v>
      </x:c>
      <x:c r="G13" s="27" t="n">
        <x:v>3</x:v>
      </x:c>
      <x:c r="H13" s="27" t="str">
        <x:v>Boros Dragons</x:v>
      </x:c>
      <x:c r="I13" s="27" t="str">
        <x:v>Boros Dragons</x:v>
      </x:c>
      <x:c r="J13" s="28" t="str">
        <x:v>ENGLISH FALLBACK · P12-15C</x:v>
      </x:c>
      <x:c r="K13" s="27" t="str">
        <x:v>IronBeagle</x:v>
      </x:c>
      <x:c r="L13" s="27" t="str">
        <x:v>deck:a1ee1d77d2a2ebb3ff9d</x:v>
      </x:c>
      <x:c r="M13" s="27" t="str">
        <x:v>重回环境；新系列上线前两周使用新牌</x:v>
      </x:c>
      <x:c r="N13" s="29" t="str">
        <x:v>禁牌后重新回到环境，同时加入了Smaug</x:v>
      </x:c>
      <x:c r="O13" s="26" t="str">
        <x:v>Smaug the Magnificent</x:v>
      </x:c>
      <x:c r="P13" s="26" t="str">
        <x:v>Sarkhan, Dragon Ascendant</x:v>
      </x:c>
      <x:c r="Q13" s="26" t="str">
        <x:v>Clarion Conqueror</x:v>
      </x:c>
      <x:c r="R13" s="26" t="str">
        <x:v>Nova Hellkite</x:v>
      </x:c>
      <x:c r="S13" s="30"/>
      <x:c r="T13" s="26"/>
      <x:c r="U13" s="27" t="str">
        <x:v>3× Burst Lightning; 3× Cavern of Souls; 3× Clarion Conqueror; 1× Dragonhawk, Fate's Tempest; 1× Erode; 4× Inspiring Vantage; 2× Lorehold, the Historian; 4× Maelstrom of the Spirit Dragon; 4× Magmatic Hellkite; 4× Momo, Friendly Flier; 1× Monica Rambeau; 2× Mountain; 3× Multiversal Passage; 4× Nova Hellkite; 1× Plains; 4× Sacred Foundry; 4× Sarkhan, Dragon Ascendant; 3× Smaug the Magnificent; 3× Sunbillow Verge; 2× Twinmaw Stormbrood; 4× Voice of Victory</x:v>
      </x:c>
      <x:c r="V13" s="27" t="str">
        <x:v>3× Dawn's Truce; 1× Doorkeeper Thrull; 1× Erode; 4× Rest in Peace; 2× Seam Rip; 2× Sheltered by Ghosts; 2× Split Up</x:v>
      </x:c>
      <x:c r="W13" s="28" t="str">
        <x:f t="shared" si="0">IF(A13&lt;&gt;"KEEP","NOT SELECTED",IF(OR(D13="",N13="",O13="",P13="",Q13="",R13=""),"NEEDS INPUT","READY"))</x:f>
        <x:v>READY</x:v>
      </x:c>
      <x:c r="X13" s="28" t="str">
        <x:f t="shared" si="1">IF(A13&lt;&gt;"KEEP","NOT SELECTED",IF(S13="","NEEDS P12-15C DRAFT",IF(T13="","NEEDS OWNER REVIEW","READY")))</x:f>
        <x:v>NEEDS P12-15C DRAFT</x:v>
      </x:c>
    </x:row>
    <x:row r="14" ht="69" customHeight="1">
      <x:c r="A14" s="26" t="str">
        <x:v>KEEP</x:v>
      </x:c>
      <x:c r="B14" s="27" t="str">
        <x:v>2026-W33</x:v>
      </x:c>
      <x:c r="C14" s="27" t="str">
        <x:v>standard</x:v>
      </x:c>
      <x:c r="D14" s="26" t="str">
        <x:v>new_technology</x:v>
      </x:c>
      <x:c r="E14" s="27" t="str">
        <x:v>Standard Challenge 32 · 12851651</x:v>
      </x:c>
      <x:c r="F14" s="27" t="str">
        <x:v>2026-08-14</x:v>
      </x:c>
      <x:c r="G14" s="27" t="n">
        <x:v>5</x:v>
      </x:c>
      <x:c r="H14" s="27" t="str">
        <x:v>Mono-Red Dragons</x:v>
      </x:c>
      <x:c r="I14" s="27" t="str">
        <x:v>Mono-Red Dragons</x:v>
      </x:c>
      <x:c r="J14" s="28" t="str">
        <x:v>ENGLISH FALLBACK · P12-15C</x:v>
      </x:c>
      <x:c r="K14" s="27" t="str">
        <x:v>SpockVidaLoka</x:v>
      </x:c>
      <x:c r="L14" s="27" t="str">
        <x:v>deck:96749dc528008eb7a201</x:v>
      </x:c>
      <x:c r="M14" s="27" t="str">
        <x:v>新系列上线前两周使用新牌；新 Archetype</x:v>
      </x:c>
      <x:c r="N14" s="26" t="str">
        <x:v>以前最开始曾经进入过环境的纯红龙也在Smaug加持之下出现，本周拿下多个八强。</x:v>
      </x:c>
      <x:c r="O14" s="26" t="str">
        <x:v>Smaug the Magnificent</x:v>
      </x:c>
      <x:c r="P14" s="26" t="str">
        <x:v>Sarkhan, Dragon Ascendant</x:v>
      </x:c>
      <x:c r="Q14" s="26" t="str">
        <x:v>Magda, the Hoardmaster</x:v>
      </x:c>
      <x:c r="R14" s="26" t="str">
        <x:v>Nova Hellkite</x:v>
      </x:c>
      <x:c r="S14" s="30"/>
      <x:c r="T14" s="26"/>
      <x:c r="U14" s="27" t="str">
        <x:v>4× Burst Lightning; 2× Channeled Dragonfire; 4× Hired Claw; 2× Lightning Strike; 4× Magda, the Hoardmaster; 2× Magmatic Hellkite; 20× Mountain; 4× Nova Hellkite; 4× Sarkhan, Dragon Ascendant; 1× Scorching Shot; 2× Shock; 4× Smaug the Magnificent; 3× Soulstone Sanctuary; 2× Sunspine Lynx; 2× Taurean Mauler</x:v>
      </x:c>
      <x:c r="V14" s="27" t="str">
        <x:v>2× Ghost Vacuum; 4× Magebane Lizard; 1× Scorching Shot; 2× Sear; 2× Slagstorm; 2× Sunspine Lynx; 2× The Legend of Roku</x:v>
      </x:c>
      <x:c r="W14" s="28" t="str">
        <x:f t="shared" si="0">IF(A14&lt;&gt;"KEEP","NOT SELECTED",IF(OR(D14="",N14="",O14="",P14="",Q14="",R14=""),"NEEDS INPUT","READY"))</x:f>
        <x:v>READY</x:v>
      </x:c>
      <x:c r="X14" s="28" t="str">
        <x:f t="shared" si="1">IF(A14&lt;&gt;"KEEP","NOT SELECTED",IF(S14="","NEEDS P12-15C DRAFT",IF(T14="","NEEDS OWNER REVIEW","READY")))</x:f>
        <x:v>NEEDS P12-15C DRAFT</x:v>
      </x:c>
    </x:row>
    <x:row r="15" ht="69" customHeight="1">
      <x:c r="A15" s="26" t="str">
        <x:v>KEEP</x:v>
      </x:c>
      <x:c r="B15" s="27" t="str">
        <x:v>2026-W33</x:v>
      </x:c>
      <x:c r="C15" s="27" t="str">
        <x:v>standard</x:v>
      </x:c>
      <x:c r="D15" s="26" t="str">
        <x:v>new_technology</x:v>
      </x:c>
      <x:c r="E15" s="27" t="str">
        <x:v>Standard Challenge 32 · 12851628</x:v>
      </x:c>
      <x:c r="F15" s="27" t="str">
        <x:v>2026-08-13</x:v>
      </x:c>
      <x:c r="G15" s="27" t="n">
        <x:v>2</x:v>
      </x:c>
      <x:c r="H15" s="27" t="str">
        <x:v>Five-Color Humans</x:v>
      </x:c>
      <x:c r="I15" s="27" t="str">
        <x:v>Five-Color Humans</x:v>
      </x:c>
      <x:c r="J15" s="28" t="str">
        <x:v>ENGLISH FALLBACK · P12-15C</x:v>
      </x:c>
      <x:c r="K15" s="27" t="str">
        <x:v>burnet7</x:v>
      </x:c>
      <x:c r="L15" s="27" t="str">
        <x:v>deck:72768a4ea7b144822c74</x:v>
      </x:c>
      <x:c r="M15" s="27" t="str">
        <x:v>新系列上线前两周使用新牌</x:v>
      </x:c>
      <x:c r="N15" s="26" t="str">
        <x:v>使用了新牌Key to the Side-Door</x:v>
      </x:c>
      <x:c r="O15" s="26" t="str">
        <x:v>Key to the Side-Door</x:v>
      </x:c>
      <x:c r="P15" s="26" t="str">
        <x:v>Aang, Swift Savior</x:v>
      </x:c>
      <x:c r="Q15" s="26" t="str">
        <x:v>Celestial Reunion</x:v>
      </x:c>
      <x:c r="R15" s="26" t="str">
        <x:v>Arachne, Psionic Weaver</x:v>
      </x:c>
      <x:c r="S15" s="30"/>
      <x:c r="T15" s="26"/>
      <x:c r="U15" s="27" t="str">
        <x:v>3× Aang, Swift Savior; 1× Ademi of the Silkchutes; 3× Arachne, Psionic Weaver; 1× Bruce Banner; 1× Captain America, Super-Soldier; 4× Cavern of Souls; 3× Cecil, Dark Knight; 3× Celestial Reunion; 2× Cloak and Dagger, Entwined; 1× Elektra, Daughter of the Hand; 1× Forest; 2× Godless Shrine; 2× Hallowed Fountain; 1× Honest Rutstein; 2× Jennifer Walters; 1× Karai, Future of the Foot; 2× Key to the Side-Door; 1× King T'Challa; 1× Miles Morales; 1× Nick Fury, Agent of S.H.I.E.L.D.; 2× Overgrown Tomb; 1× Plains; 1× Practiced Offense; 4× Secluded Courtyard; 2× Serah Farron; 1× Spectacular Spider-Man; 4× Starting Town; 3× Temple Garden; 2× The Queen of Dale; 3× The Wondrous Wasp; 1× Zack Fair</x:v>
      </x:c>
      <x:c r="V15" s="27" t="str">
        <x:v>1× Chomping Changeling; 2× Dawn's Truce; 2× Mai, Scornful Striker; 1× Monica Rambeau; 1× Rest in Peace; 1× Settle the Wreckage; 1× Soul-Guide Lantern; 1× The Sentry, Golden Guardian; 2× Torpor Orb; 3× Winnowing</x:v>
      </x:c>
      <x:c r="W15" s="28" t="str">
        <x:f t="shared" si="0">IF(A15&lt;&gt;"KEEP","NOT SELECTED",IF(OR(D15="",N15="",O15="",P15="",Q15="",R15=""),"NEEDS INPUT","READY"))</x:f>
        <x:v>READY</x:v>
      </x:c>
      <x:c r="X15" s="28" t="str">
        <x:f t="shared" si="1">IF(A15&lt;&gt;"KEEP","NOT SELECTED",IF(S15="","NEEDS P12-15C DRAFT",IF(T15="","NEEDS OWNER REVIEW","READY")))</x:f>
        <x:v>NEEDS P12-15C DRAFT</x:v>
      </x:c>
    </x:row>
    <x:row r="16" ht="69" customHeight="1">
      <x:c r="A16" s="26" t="str">
        <x:v>KEEP</x:v>
      </x:c>
      <x:c r="B16" s="27" t="str">
        <x:v>2026-W33</x:v>
      </x:c>
      <x:c r="C16" s="27" t="str">
        <x:v>standard</x:v>
      </x:c>
      <x:c r="D16" s="26" t="str">
        <x:v>new_technology</x:v>
      </x:c>
      <x:c r="E16" s="27" t="str">
        <x:v>Standard Challenge 32 · 12851651</x:v>
      </x:c>
      <x:c r="F16" s="27" t="str">
        <x:v>2026-08-14</x:v>
      </x:c>
      <x:c r="G16" s="27" t="n">
        <x:v>7</x:v>
      </x:c>
      <x:c r="H16" s="27" t="str">
        <x:v>Azorius Oculus</x:v>
      </x:c>
      <x:c r="I16" s="27" t="str">
        <x:v>Azorius Oculus</x:v>
      </x:c>
      <x:c r="J16" s="28" t="str">
        <x:v>ENGLISH FALLBACK · P12-15C</x:v>
      </x:c>
      <x:c r="K16" s="27" t="str">
        <x:v>Thief_Of_Crowns</x:v>
      </x:c>
      <x:c r="L16" s="27" t="str">
        <x:v>deck:492b0e40d4a2f0bdc168</x:v>
      </x:c>
      <x:c r="M16" s="27" t="str">
        <x:v>新系列上线前两周使用新牌；新 Archetype</x:v>
      </x:c>
      <x:c r="N16" s="26" t="str">
        <x:v>曾经的救援掘大眼套牌，本周加入HOB的Most Decrepit Old Bird和The Eagles Are Coming!后也重新回到环境。</x:v>
      </x:c>
      <x:c r="O16" s="26" t="str">
        <x:v>Abhorrent Oculus</x:v>
      </x:c>
      <x:c r="P16" s="26" t="str">
        <x:v>Helping Hand</x:v>
      </x:c>
      <x:c r="Q16" s="26" t="str">
        <x:v>Most Decrepit Old Bird</x:v>
      </x:c>
      <x:c r="R16" s="26" t="str">
        <x:v>The Eagles Are Coming!</x:v>
      </x:c>
      <x:c r="S16" s="30"/>
      <x:c r="T16" s="26"/>
      <x:c r="U16" s="27" t="str">
        <x:v>1× Abandoned Air Temple; 4× Abhorrent Oculus; 1× Agna Qel'a; 4× Cosmogrand Zenith; 4× Floodfarm Verge; 4× Get Lost; 4× Hallowed Fountain; 4× Helping Hand; 4× Island; 2× Kiora, the Rising Tide; 4× Leonardo's Technique; 4× Meticulous Archive; 4× Most Decrepit Old Bird; 4× No More Lies; 4× Picklock Prankster; 4× Plains; 4× Practiced Offense</x:v>
      </x:c>
      <x:c r="V16" s="27" t="str">
        <x:v>2× Clarion Conqueror; 2× Erode; 3× Requisition Raid; 4× Spell Pierce; 2× Spell Snare; 2× The Eagles Are Coming!</x:v>
      </x:c>
      <x:c r="W16" s="28" t="str">
        <x:f t="shared" si="0">IF(A16&lt;&gt;"KEEP","NOT SELECTED",IF(OR(D16="",N16="",O16="",P16="",Q16="",R16=""),"NEEDS INPUT","READY"))</x:f>
        <x:v>READY</x:v>
      </x:c>
      <x:c r="X16" s="28" t="str">
        <x:f t="shared" si="1">IF(A16&lt;&gt;"KEEP","NOT SELECTED",IF(S16="","NEEDS P12-15C DRAFT",IF(T16="","NEEDS OWNER REVIEW","READY")))</x:f>
        <x:v>NEEDS P12-15C DRAFT</x:v>
      </x:c>
    </x:row>
    <x:row r="17" ht="69" customHeight="1">
      <x:c r="A17" s="26" t="str">
        <x:v>KEEP</x:v>
      </x:c>
      <x:c r="B17" s="27" t="str">
        <x:v>2026-W33</x:v>
      </x:c>
      <x:c r="C17" s="27" t="str">
        <x:v>standard</x:v>
      </x:c>
      <x:c r="D17" s="26" t="str">
        <x:v>new_technology</x:v>
      </x:c>
      <x:c r="E17" s="27" t="str">
        <x:v>Standard Challenge 32 · 12851628</x:v>
      </x:c>
      <x:c r="F17" s="27" t="str">
        <x:v>2026-08-13</x:v>
      </x:c>
      <x:c r="G17" s="27" t="n">
        <x:v>8</x:v>
      </x:c>
      <x:c r="H17" s="27" t="str">
        <x:v>Jeskai Tablet</x:v>
      </x:c>
      <x:c r="I17" s="27" t="str">
        <x:v>Jeskai Tablet</x:v>
      </x:c>
      <x:c r="J17" s="28" t="str">
        <x:v>ENGLISH FALLBACK · P12-15C</x:v>
      </x:c>
      <x:c r="K17" s="27" t="str">
        <x:v>_VFS_</x:v>
      </x:c>
      <x:c r="L17" s="27" t="str">
        <x:v>deck:3e9daa72448ce4e0b276</x:v>
      </x:c>
      <x:c r="M17" s="27" t="str">
        <x:v>新系列上线前两周使用新牌</x:v>
      </x:c>
      <x:c r="N17" s="29" t="str">
        <x:v>使用了新牌Pllunder the Trollshaws</x:v>
      </x:c>
      <x:c r="O17" s="26" t="str">
        <x:v>Tablet of Discovery</x:v>
      </x:c>
      <x:c r="P17" s="26" t="str">
        <x:v>Jeskai Revelation</x:v>
      </x:c>
      <x:c r="Q17" s="26" t="str">
        <x:v>Day of Judgment</x:v>
      </x:c>
      <x:c r="R17" s="26" t="str">
        <x:v>Plunder the Trollshaws</x:v>
      </x:c>
      <x:c r="S17" s="30"/>
      <x:c r="T17" s="26"/>
      <x:c r="U17" s="27" t="str">
        <x:v>3× Broadside Barrage; 3× Day of Judgment; 4× Firebending Lesson; 1× Flashback; 4× Floodfarm Verge; 4× Hallowed Fountain; 1× Island; 4× Jeskai Revelation; 3× Mystic Monastery; 3× No More Lies; 3× North Wind Avatar; 1× Plains; 2× Plunder the Trollshaws; 4× Sacred Foundry; 3× Spell Snare; 4× Spirebluff Canal; 4× Steam Vents; 4× Stock Up; 2× Sundown Pass; 4× Tablet of Discovery</x:v>
      </x:c>
      <x:c r="V17" s="27" t="str">
        <x:v>1× Aurelia, the Warleader; 1× Avengers Disassembled; 1× Day of Judgment; 1× Emeritus of Ideation; 1× Erode; 1× Essence Scatter; 1× Flashfreeze; 1× Negate; 1× Petrified Hamlet; 1× Pyroclasm; 1× Rest in Peace; 1× Riverchurn Monument; 1× Seam Rip; 1× Soul-Guide Lantern; 1× Spell Pierce</x:v>
      </x:c>
      <x:c r="W17" s="28" t="str">
        <x:f t="shared" si="0">IF(A17&lt;&gt;"KEEP","NOT SELECTED",IF(OR(D17="",N17="",O17="",P17="",Q17="",R17=""),"NEEDS INPUT","READY"))</x:f>
        <x:v>READY</x:v>
      </x:c>
      <x:c r="X17" s="28" t="str">
        <x:f t="shared" si="1">IF(A17&lt;&gt;"KEEP","NOT SELECTED",IF(S17="","NEEDS P12-15C DRAFT",IF(T17="","NEEDS OWNER REVIEW","READY")))</x:f>
        <x:v>NEEDS P12-15C DRAFT</x:v>
      </x:c>
    </x:row>
    <x:row r="18" ht="69" customHeight="1">
      <x:c r="A18" s="26" t="str">
        <x:v>KEEP</x:v>
      </x:c>
      <x:c r="B18" s="27" t="str">
        <x:v>2026-W33</x:v>
      </x:c>
      <x:c r="C18" s="27" t="str">
        <x:v>standard</x:v>
      </x:c>
      <x:c r="D18" s="26" t="str">
        <x:v>new_technology</x:v>
      </x:c>
      <x:c r="E18" s="27" t="str">
        <x:v>Standard Challenge 32 · 12851684</x:v>
      </x:c>
      <x:c r="F18" s="27" t="str">
        <x:v>2026-08-16</x:v>
      </x:c>
      <x:c r="G18" s="27" t="n">
        <x:v>6</x:v>
      </x:c>
      <x:c r="H18" s="27" t="str">
        <x:v>Jeskai Momo</x:v>
      </x:c>
      <x:c r="I18" s="27" t="str">
        <x:v>Jeskai Momo</x:v>
      </x:c>
      <x:c r="J18" s="28" t="str">
        <x:v>ENGLISH FALLBACK · P12-15C</x:v>
      </x:c>
      <x:c r="K18" s="27" t="str">
        <x:v>olbeda</x:v>
      </x:c>
      <x:c r="L18" s="27" t="str">
        <x:v>deck:1eedf5459507770b0502</x:v>
      </x:c>
      <x:c r="M18" s="27" t="str">
        <x:v>新系列上线前两周使用新牌</x:v>
      </x:c>
      <x:c r="N18" s="26" t="str">
        <x:v>使用了新牌The Lord of the Eagles</x:v>
      </x:c>
      <x:c r="O18" s="26" t="str">
        <x:v>Momo, Friendly Flier</x:v>
      </x:c>
      <x:c r="P18" s="26" t="str">
        <x:v>Quantum Riddler</x:v>
      </x:c>
      <x:c r="Q18" s="26" t="str">
        <x:v>Frostcliff Siege</x:v>
      </x:c>
      <x:c r="R18" s="26" t="str">
        <x:v>The Lord of the Eagles</x:v>
      </x:c>
      <x:c r="S18" s="30"/>
      <x:c r="T18" s="26"/>
      <x:c r="U18" s="27" t="str">
        <x:v>2× Abandoned Air Temple; 4× Daydream; 4× Floodfarm Verge; 3× Frostcliff Siege; 2× Haliya, Guided by Light; 4× Hallowed Fountain; 1× Island; 4× Momo, Friendly Flier; 3× Nurturing Pixie; 2× Parting Gust; 3× Plains; 4× Quantum Riddler; 2× Sacred Foundry; 4× Sage of the Skies; 2× Seam Rip; 2× Skycoach Conductor; 4× Springleaf Drum; 4× Starfield Shepherd; 4× Starting Town; 2× The Lord of the Eagles</x:v>
      </x:c>
      <x:c r="V18" s="27" t="str">
        <x:v>2× Avatar's Wrath; 3× Aven Interrupter; 2× Clarion Conqueror; 2× Glen Elendra Guardian; 4× Rest in Peace; 2× Seam Rip</x:v>
      </x:c>
      <x:c r="W18" s="28" t="str">
        <x:f t="shared" si="0">IF(A18&lt;&gt;"KEEP","NOT SELECTED",IF(OR(D18="",N18="",O18="",P18="",Q18="",R18=""),"NEEDS INPUT","READY"))</x:f>
        <x:v>READY</x:v>
      </x:c>
      <x:c r="X18" s="28" t="str">
        <x:f t="shared" si="1">IF(A18&lt;&gt;"KEEP","NOT SELECTED",IF(S18="","NEEDS P12-15C DRAFT",IF(T18="","NEEDS OWNER REVIEW","READY")))</x:f>
        <x:v>NEEDS P12-15C DRAFT</x:v>
      </x:c>
    </x:row>
    <x:row r="19" ht="69" customHeight="1">
      <x:c r="A19" s="26" t="str">
        <x:v>KEEP</x:v>
      </x:c>
      <x:c r="B19" s="27" t="str">
        <x:v>2026-W33</x:v>
      </x:c>
      <x:c r="C19" s="27" t="str">
        <x:v>standard</x:v>
      </x:c>
      <x:c r="D19" s="26" t="str">
        <x:v>new_technology</x:v>
      </x:c>
      <x:c r="E19" s="27" t="str">
        <x:v>Standard Challenge 32 · 12851628</x:v>
      </x:c>
      <x:c r="F19" s="27" t="str">
        <x:v>2026-08-13</x:v>
      </x:c>
      <x:c r="G19" s="27" t="n">
        <x:v>7</x:v>
      </x:c>
      <x:c r="H19" s="27" t="str">
        <x:v>Selesnya Landfall</x:v>
      </x:c>
      <x:c r="I19" s="27" t="str">
        <x:v>Selesnya Landfall</x:v>
      </x:c>
      <x:c r="J19" s="28" t="str">
        <x:v>ENGLISH FALLBACK · P12-15C</x:v>
      </x:c>
      <x:c r="K19" s="27" t="str">
        <x:v>fried-liver-attack</x:v>
      </x:c>
      <x:c r="L19" s="27" t="str">
        <x:v>deck:8b76fae6e748885f7135</x:v>
      </x:c>
      <x:c r="M19" s="27" t="str">
        <x:v>构筑大幅变化</x:v>
      </x:c>
      <x:c r="N19" s="26" t="str">
        <x:v>白绿本周偏少，不过也使用了和纯绿类似的新组件</x:v>
      </x:c>
      <x:c r="O19" s="26" t="str">
        <x:v>Mossborn Hydra</x:v>
      </x:c>
      <x:c r="P19" s="26" t="str">
        <x:v>Keen-Eyed Curator</x:v>
      </x:c>
      <x:c r="Q19" s="26" t="str">
        <x:v>Bristly Bill, Spine Sower</x:v>
      </x:c>
      <x:c r="R19" s="26" t="str">
        <x:v>Shared Roots</x:v>
      </x:c>
      <x:c r="S19" s="30"/>
      <x:c r="T19" s="26"/>
      <x:c r="U19" s="27" t="str">
        <x:v>3× Ba Sing Se; 1× Bristly Bill, Spine Sower; 1× Demolition Field; 2× Dyadrine, Synthesis Amalgam; 4× Earthbender Ascension; 3× Erode; 4× Escape Tunnel; 4× Fabled Passage; 8× Forest; 4× Hushwood Verge; 4× Icetill Explorer; 1× Keen-Eyed Curator; 4× Llanowar Elves; 3× Mightform Harmonizer; 4× Mossborn Hydra; 2× Plains; 4× Sazh's Chocobo; 2× Shared Roots; 2× Snakeskin Veil</x:v>
      </x:c>
      <x:c r="V19" s="27" t="str">
        <x:v>1× Erode; 1× Leatherhead, Swamp Stalker; 1× Origin of Metalbending; 3× Rest in Peace; 2× Spectacular Tactics; 3× Surrak, Elusive Hunter; 2× Vivien Reid; 2× Voice of Victory</x:v>
      </x:c>
      <x:c r="W19" s="28" t="str">
        <x:f t="shared" si="0">IF(A19&lt;&gt;"KEEP","NOT SELECTED",IF(OR(D19="",N19="",O19="",P19="",Q19="",R19=""),"NEEDS INPUT","READY"))</x:f>
        <x:v>READY</x:v>
      </x:c>
      <x:c r="X19" s="28" t="str">
        <x:f t="shared" si="1">IF(A19&lt;&gt;"KEEP","NOT SELECTED",IF(S19="","NEEDS P12-15C DRAFT",IF(T19="","NEEDS OWNER REVIEW","READY")))</x:f>
        <x:v>NEEDS P12-15C DRAFT</x:v>
      </x:c>
    </x:row>
    <x:row r="20" ht="69" customHeight="1">
      <x:c r="A20" s="26" t="str">
        <x:v>KEEP</x:v>
      </x:c>
      <x:c r="B20" s="27" t="str">
        <x:v>2026-W33</x:v>
      </x:c>
      <x:c r="C20" s="27" t="str">
        <x:v>modern</x:v>
      </x:c>
      <x:c r="D20" s="26" t="str">
        <x:v>new_technology</x:v>
      </x:c>
      <x:c r="E20" s="27" t="str">
        <x:v>Modern RC Super Qualifier · 12851608</x:v>
      </x:c>
      <x:c r="F20" s="27" t="str">
        <x:v>2026-08-15</x:v>
      </x:c>
      <x:c r="G20" s="27" t="n">
        <x:v>1</x:v>
      </x:c>
      <x:c r="H20" s="27" t="str">
        <x:v>Jeskai Energy</x:v>
      </x:c>
      <x:c r="I20" s="27" t="str">
        <x:v>Jeskai Energy</x:v>
      </x:c>
      <x:c r="J20" s="28" t="str">
        <x:v>ENGLISH FALLBACK · P12-15C</x:v>
      </x:c>
      <x:c r="K20" s="27" t="str">
        <x:v>TrueHero</x:v>
      </x:c>
      <x:c r="L20" s="27" t="str">
        <x:v>deck:af10094d2257be87dcfd</x:v>
      </x:c>
      <x:c r="M20" s="27" t="str">
        <x:v>Landing 顶端正文已引用该精确牌表；按 Owner 硬规则必须同时进入底部 Feature。Category 仍由 Owner 确认。</x:v>
      </x:c>
      <x:c r="N20" s="26" t="str">
        <x:v>301 人 Modern 超级 RCQ 冠军洁斯凯能量；用于展示本周大型赛事的冠军构筑。</x:v>
      </x:c>
      <x:c r="O20" s="26" t="str">
        <x:v>Guide of Souls</x:v>
      </x:c>
      <x:c r="P20" s="26" t="str">
        <x:v>Ocelot Pride</x:v>
      </x:c>
      <x:c r="Q20" s="26" t="str">
        <x:v>Ajani, Nacatl Pariah</x:v>
      </x:c>
      <x:c r="R20" s="26" t="str">
        <x:v>Quantum Riddler</x:v>
      </x:c>
      <x:c r="S20" s="30"/>
      <x:c r="T20" s="26"/>
      <x:c r="U20" s="27" t="str">
        <x:v>4× Quantum Riddler; 3× Goblin Bombardment; 4× Flooded Strand; 1× Elegant Parlor; 4× Voice of Victory; 4× Ocelot Pride; 4× Ajani, Nacatl Pariah; 4× Guide of Souls; 2× Plains; 1× Meticulous Archive; 1× Mountain; 3× Ephemerate; 2× Hallowed Fountain; 4× Arid Mesa; 2× Sacred Foundry; 4× Ragavan, Nimble Pilferer; 4× Solitude; 1× Scalding Tarn; 2× Starfield Shepherd; 1× Steam Vents; 2× Thraben Charm; 1× Windswept Heath; 2× Dalkovan Encampment</x:v>
      </x:c>
      <x:c r="V20" s="27" t="str">
        <x:v>1× Orim's Chant; 2× Erode; 4× Consign to Memory; 2× Flusterstorm; 1× Containment Priest; 1× Spell Snare; 2× Wrath of the Skies; 2× Surgical Extraction</x:v>
      </x:c>
      <x:c r="W20" s="28" t="str">
        <x:f t="shared" si="0">IF(A20&lt;&gt;"KEEP","NOT SELECTED",IF(OR(D20="",N20="",O20="",P20="",Q20="",R20=""),"NEEDS INPUT","READY"))</x:f>
        <x:v>READY</x:v>
      </x:c>
      <x:c r="X20" s="28" t="str">
        <x:f t="shared" si="1">IF(A20&lt;&gt;"KEEP","NOT SELECTED",IF(S20="","NEEDS P12-15C DRAFT",IF(T20="","NEEDS OWNER REVIEW","READY")))</x:f>
        <x:v>NEEDS P12-15C DRAFT</x:v>
      </x:c>
    </x:row>
    <x:row r="21" ht="69" customHeight="1">
      <x:c r="A21" s="26" t="str">
        <x:v>KEEP</x:v>
      </x:c>
      <x:c r="B21" s="27" t="str">
        <x:v>2026-W33</x:v>
      </x:c>
      <x:c r="C21" s="27" t="str">
        <x:v>modern</x:v>
      </x:c>
      <x:c r="D21" s="26" t="str">
        <x:v>new_technology</x:v>
      </x:c>
      <x:c r="E21" s="27" t="str">
        <x:v>Modern Challenge 64 · 12851632</x:v>
      </x:c>
      <x:c r="F21" s="27" t="str">
        <x:v>2026-08-13</x:v>
      </x:c>
      <x:c r="G21" s="27" t="n">
        <x:v>2</x:v>
      </x:c>
      <x:c r="H21" s="27" t="str">
        <x:v>Boros Energy</x:v>
      </x:c>
      <x:c r="I21" s="27" t="str">
        <x:v>Boros Energy</x:v>
      </x:c>
      <x:c r="J21" s="28" t="str">
        <x:v>ENGLISH FALLBACK · P12-15C</x:v>
      </x:c>
      <x:c r="K21" s="27" t="str">
        <x:v>fazparte</x:v>
      </x:c>
      <x:c r="L21" s="27" t="str">
        <x:v>deck:ad346963fcf45a711737</x:v>
      </x:c>
      <x:c r="M21" s="27" t="str">
        <x:v>新系列上线前两周使用新牌；构筑大幅变化</x:v>
      </x:c>
      <x:c r="N21" s="26" t="str">
        <x:v>使用了新牌Belladonna Took</x:v>
      </x:c>
      <x:c r="O21" s="26" t="str">
        <x:v>Guide of Souls</x:v>
      </x:c>
      <x:c r="P21" s="26" t="str">
        <x:v>Ocelot Pride</x:v>
      </x:c>
      <x:c r="Q21" s="26" t="str">
        <x:v>Ajani, Nacatl Pariah</x:v>
      </x:c>
      <x:c r="R21" s="26" t="str">
        <x:v>Belladonna Took</x:v>
      </x:c>
      <x:c r="S21" s="30"/>
      <x:c r="T21" s="26"/>
      <x:c r="U21" s="27" t="str">
        <x:v>4× Ajani, Nacatl Pariah; 1× Arena of Glory; 4× Arid Mesa; 1× Belladonna Took; 1× Blood Moon; 1× Boromir, Warden of the Tower; 2× Dalkovan Encampment; 2× Elegant Parlor; 1× Fable of the Mirror-Breaker; 2× Flooded Strand; 4× Galvanic Discharge; 3× Goblin Bombardment; 4× Guide of Souls; 1× Mana Tithe; 2× Marsh Flats; 1× Mountain; 4× Ocelot Pride; 2× Plains; 2× Prismatic Ending; 3× Ragavan, Nimble Pilferer; 1× Ranger-Captain of Eos; 4× Sacred Foundry; 2× Seasoned Pyromancer; 1× Static Prison; 1× The Legend of Roku; 2× Thraben Charm; 2× Voice of Victory; 2× Windswept Heath</x:v>
      </x:c>
      <x:c r="V21" s="27" t="str">
        <x:v>1× Blood Moon; 1× Celestial Purge; 2× High Noon; 3× Obsidian Charmaw; 1× Orim's Chant; 2× Surgical Extraction; 2× Vexing Bauble; 1× Wear/Tear; 2× Wrath of the Skies</x:v>
      </x:c>
      <x:c r="W21" s="28" t="str">
        <x:f t="shared" si="0">IF(A21&lt;&gt;"KEEP","NOT SELECTED",IF(OR(D21="",N21="",O21="",P21="",Q21="",R21=""),"NEEDS INPUT","READY"))</x:f>
        <x:v>READY</x:v>
      </x:c>
      <x:c r="X21" s="28" t="str">
        <x:f t="shared" si="1">IF(A21&lt;&gt;"KEEP","NOT SELECTED",IF(S21="","NEEDS P12-15C DRAFT",IF(T21="","NEEDS OWNER REVIEW","READY")))</x:f>
        <x:v>NEEDS P12-15C DRAFT</x:v>
      </x:c>
    </x:row>
  </x:sheetData>
  <x:mergeCells>
    <x:mergeCell ref="A1:X1"/>
    <x:mergeCell ref="A2:X2"/>
  </x:mergeCells>
  <x:dataValidations count="2">
    <x:dataValidation type="list" sqref="A5:A204">
      <x:formula1>"KEEP,DROP,ADD"</x:formula1>
    </x:dataValidation>
    <x:dataValidation type="list" sqref="D5:D204">
      <x:formula1>"new_deck,new_technology"</x:formula1>
    </x:dataValidation>
  </x:dataValidations>
  <x:pageMargins left="0.7" right="0.7" top="0.75" bottom="0.75" header="0.3" footer="0.3"/>
</x:worksheet>
</file>

<file path=xl/worksheets/sheet4.xml><?xml version="1.0" encoding="utf-8"?>
<x:worksheet xmlns:x="http://schemas.openxmlformats.org/spreadsheetml/2006/main">
  <x:sheetViews>
    <x:sheetView showGridLines="0" workbookViewId="0"/>
  </x:sheetViews>
  <x:sheetFormatPr defaultColWidth="9" defaultRowHeight="14"/>
  <x:cols>
    <x:col min="1" max="1" width="14.383333206176758" customWidth="1"/>
    <x:col min="2" max="2" width="27.5" customWidth="1"/>
    <x:col min="3" max="3" width="11.25" customWidth="1"/>
    <x:col min="4" max="4" width="10" customWidth="1"/>
    <x:col min="5" max="5" width="22.5" customWidth="1"/>
    <x:col min="6" max="6" width="11.883333206176758" customWidth="1"/>
    <x:col min="7" max="7" width="6.883333206176758" customWidth="1"/>
    <x:col min="8" max="8" width="18.75" customWidth="1"/>
    <x:col min="9" max="9" width="15" customWidth="1"/>
    <x:col min="10" max="10" width="23.75" customWidth="1"/>
    <x:col min="11" max="12" width="28.75" customWidth="1"/>
    <x:col min="13" max="13" width="52.5" customWidth="1"/>
  </x:cols>
  <x:sheetData>
    <x:row r="1" ht="24" customHeight="1">
      <x:c r="A1" s="1" t="s">
        <x:v>70</x:v>
      </x:c>
    </x:row>
    <x:row r="2" ht="31.5" customHeight="1">
      <x:c r="A2" s="2" t="s">
        <x:v>71</x:v>
      </x:c>
    </x:row>
    <x:row r="4" ht="24" customHeight="1">
      <x:c r="A4" s="3" t="s">
        <x:v>72</x:v>
      </x:c>
      <x:c r="B4" s="3" t="s">
        <x:v>73</x:v>
      </x:c>
      <x:c r="C4" s="3" t="s">
        <x:v>2</x:v>
      </x:c>
      <x:c r="D4" s="3" t="s">
        <x:v>1</x:v>
      </x:c>
      <x:c r="E4" s="3" t="s">
        <x:v>64</x:v>
      </x:c>
      <x:c r="F4" s="3" t="s">
        <x:v>65</x:v>
      </x:c>
      <x:c r="G4" s="3" t="s">
        <x:v>66</x:v>
      </x:c>
      <x:c r="H4" s="3" t="s">
        <x:v>67</x:v>
      </x:c>
      <x:c r="I4" s="3" t="s">
        <x:v>68</x:v>
      </x:c>
      <x:c r="J4" s="3" t="s">
        <x:v>69</x:v>
      </x:c>
      <x:c r="K4" s="3" t="s">
        <x:v>61</x:v>
      </x:c>
      <x:c r="L4" s="3" t="s">
        <x:v>62</x:v>
      </x:c>
      <x:c r="M4" s="3" t="s">
        <x:v>63</x:v>
      </x:c>
    </x:row>
    <x:row r="5" ht="28.5" customHeight="1">
      <x:c r="A5" s="5"/>
      <x:c r="B5" s="5"/>
      <x:c r="C5" s="6" t="s">
        <x:v>14</x:v>
      </x:c>
      <x:c r="D5" s="6" t="s">
        <x:v>9</x:v>
      </x:c>
      <x:c r="E5" s="6" t="s">
        <x:v>74</x:v>
      </x:c>
      <x:c r="F5" s="6" t="s">
        <x:v>75</x:v>
      </x:c>
      <x:c r="G5" s="6">
        <x:v>1</x:v>
      </x:c>
      <x:c r="H5" s="6" t="s">
        <x:v>76</x:v>
      </x:c>
      <x:c r="I5" s="6" t="s">
        <x:v>77</x:v>
      </x:c>
      <x:c r="J5" s="6" t="s">
        <x:v>78</x:v>
      </x:c>
      <x:c r="K5" s="6" t="s">
        <x:v>79</x:v>
      </x:c>
      <x:c r="L5" s="6" t="s">
        <x:v>80</x:v>
      </x:c>
      <x:c r="M5" s="6" t="s">
        <x:v>81</x:v>
      </x:c>
    </x:row>
    <x:row r="6" ht="28.5" customHeight="1">
      <x:c r="A6" s="5"/>
      <x:c r="B6" s="5"/>
      <x:c r="C6" s="6" t="s">
        <x:v>14</x:v>
      </x:c>
      <x:c r="D6" s="6" t="s">
        <x:v>9</x:v>
      </x:c>
      <x:c r="E6" s="6" t="s">
        <x:v>74</x:v>
      </x:c>
      <x:c r="F6" s="6" t="s">
        <x:v>75</x:v>
      </x:c>
      <x:c r="G6" s="6">
        <x:v>2</x:v>
      </x:c>
      <x:c r="H6" s="6" t="s">
        <x:v>82</x:v>
      </x:c>
      <x:c r="I6" s="6" t="s">
        <x:v>83</x:v>
      </x:c>
      <x:c r="J6" s="6" t="s">
        <x:v>84</x:v>
      </x:c>
      <x:c r="K6" s="6" t="s">
        <x:v>85</x:v>
      </x:c>
      <x:c r="L6" s="6" t="s">
        <x:v>86</x:v>
      </x:c>
      <x:c r="M6" s="6" t="s">
        <x:v>87</x:v>
      </x:c>
    </x:row>
    <x:row r="7" ht="28.5" customHeight="1">
      <x:c r="A7" s="5"/>
      <x:c r="B7" s="5"/>
      <x:c r="C7" s="6" t="s">
        <x:v>14</x:v>
      </x:c>
      <x:c r="D7" s="6" t="s">
        <x:v>9</x:v>
      </x:c>
      <x:c r="E7" s="6" t="s">
        <x:v>74</x:v>
      </x:c>
      <x:c r="F7" s="6" t="s">
        <x:v>75</x:v>
      </x:c>
      <x:c r="G7" s="6">
        <x:v>3</x:v>
      </x:c>
      <x:c r="H7" s="6" t="s">
        <x:v>82</x:v>
      </x:c>
      <x:c r="I7" s="6" t="s">
        <x:v>88</x:v>
      </x:c>
      <x:c r="J7" s="6" t="s">
        <x:v>89</x:v>
      </x:c>
      <x:c r="K7" s="6" t="s">
        <x:v>90</x:v>
      </x:c>
      <x:c r="L7" s="6" t="s">
        <x:v>91</x:v>
      </x:c>
      <x:c r="M7" s="6" t="s">
        <x:v>92</x:v>
      </x:c>
    </x:row>
    <x:row r="8" ht="28.5" customHeight="1">
      <x:c r="A8" s="5"/>
      <x:c r="B8" s="5"/>
      <x:c r="C8" s="6" t="s">
        <x:v>14</x:v>
      </x:c>
      <x:c r="D8" s="6" t="s">
        <x:v>9</x:v>
      </x:c>
      <x:c r="E8" s="6" t="s">
        <x:v>74</x:v>
      </x:c>
      <x:c r="F8" s="6" t="s">
        <x:v>75</x:v>
      </x:c>
      <x:c r="G8" s="6">
        <x:v>4</x:v>
      </x:c>
      <x:c r="H8" s="6" t="s">
        <x:v>93</x:v>
      </x:c>
      <x:c r="I8" s="6" t="s">
        <x:v>94</x:v>
      </x:c>
      <x:c r="J8" s="6" t="s">
        <x:v>95</x:v>
      </x:c>
      <x:c r="K8" s="6" t="s">
        <x:v>96</x:v>
      </x:c>
      <x:c r="L8" s="6" t="s">
        <x:v>97</x:v>
      </x:c>
      <x:c r="M8" s="6" t="s">
        <x:v>98</x:v>
      </x:c>
    </x:row>
    <x:row r="9" ht="28.5" customHeight="1">
      <x:c r="A9" s="5"/>
      <x:c r="B9" s="5"/>
      <x:c r="C9" s="6" t="s">
        <x:v>14</x:v>
      </x:c>
      <x:c r="D9" s="6" t="s">
        <x:v>9</x:v>
      </x:c>
      <x:c r="E9" s="6" t="s">
        <x:v>74</x:v>
      </x:c>
      <x:c r="F9" s="6" t="s">
        <x:v>75</x:v>
      </x:c>
      <x:c r="G9" s="6">
        <x:v>5</x:v>
      </x:c>
      <x:c r="H9" s="6" t="s">
        <x:v>99</x:v>
      </x:c>
      <x:c r="I9" s="6" t="s">
        <x:v>100</x:v>
      </x:c>
      <x:c r="J9" s="6" t="s">
        <x:v>101</x:v>
      </x:c>
      <x:c r="K9" s="6" t="s">
        <x:v>102</x:v>
      </x:c>
      <x:c r="L9" s="6" t="s">
        <x:v>103</x:v>
      </x:c>
      <x:c r="M9" s="6" t="s">
        <x:v>104</x:v>
      </x:c>
    </x:row>
    <x:row r="10" ht="28.5" customHeight="1">
      <x:c r="A10" s="5"/>
      <x:c r="B10" s="5"/>
      <x:c r="C10" s="6" t="s">
        <x:v>14</x:v>
      </x:c>
      <x:c r="D10" s="6" t="s">
        <x:v>9</x:v>
      </x:c>
      <x:c r="E10" s="6" t="s">
        <x:v>74</x:v>
      </x:c>
      <x:c r="F10" s="6" t="s">
        <x:v>75</x:v>
      </x:c>
      <x:c r="G10" s="6">
        <x:v>6</x:v>
      </x:c>
      <x:c r="H10" s="6" t="s">
        <x:v>93</x:v>
      </x:c>
      <x:c r="I10" s="6" t="s">
        <x:v>105</x:v>
      </x:c>
      <x:c r="J10" s="6" t="s">
        <x:v>106</x:v>
      </x:c>
      <x:c r="K10" s="6" t="s">
        <x:v>107</x:v>
      </x:c>
      <x:c r="L10" s="6" t="s">
        <x:v>108</x:v>
      </x:c>
      <x:c r="M10" s="6" t="s">
        <x:v>109</x:v>
      </x:c>
    </x:row>
    <x:row r="11" ht="28.5" customHeight="1">
      <x:c r="A11" s="5"/>
      <x:c r="B11" s="5"/>
      <x:c r="C11" s="6" t="s">
        <x:v>14</x:v>
      </x:c>
      <x:c r="D11" s="6" t="s">
        <x:v>9</x:v>
      </x:c>
      <x:c r="E11" s="6" t="s">
        <x:v>74</x:v>
      </x:c>
      <x:c r="F11" s="6" t="s">
        <x:v>75</x:v>
      </x:c>
      <x:c r="G11" s="6">
        <x:v>7</x:v>
      </x:c>
      <x:c r="H11" s="6" t="s">
        <x:v>110</x:v>
      </x:c>
      <x:c r="I11" s="6" t="s">
        <x:v>111</x:v>
      </x:c>
      <x:c r="J11" s="6" t="s">
        <x:v>112</x:v>
      </x:c>
      <x:c r="K11" s="6" t="s">
        <x:v>113</x:v>
      </x:c>
      <x:c r="L11" s="6" t="s">
        <x:v>114</x:v>
      </x:c>
      <x:c r="M11" s="6" t="s">
        <x:v>115</x:v>
      </x:c>
    </x:row>
    <x:row r="12" ht="28.5" customHeight="1">
      <x:c r="A12" s="5"/>
      <x:c r="B12" s="5"/>
      <x:c r="C12" s="6" t="s">
        <x:v>14</x:v>
      </x:c>
      <x:c r="D12" s="6" t="s">
        <x:v>9</x:v>
      </x:c>
      <x:c r="E12" s="6" t="s">
        <x:v>74</x:v>
      </x:c>
      <x:c r="F12" s="6" t="s">
        <x:v>75</x:v>
      </x:c>
      <x:c r="G12" s="6">
        <x:v>8</x:v>
      </x:c>
      <x:c r="H12" s="6" t="s">
        <x:v>116</x:v>
      </x:c>
      <x:c r="I12" s="6" t="s">
        <x:v>117</x:v>
      </x:c>
      <x:c r="J12" s="6" t="s">
        <x:v>118</x:v>
      </x:c>
      <x:c r="K12" s="6" t="s">
        <x:v>119</x:v>
      </x:c>
      <x:c r="L12" s="6" t="s">
        <x:v>120</x:v>
      </x:c>
      <x:c r="M12" s="6" t="s">
        <x:v>121</x:v>
      </x:c>
    </x:row>
    <x:row r="13" ht="28.5" customHeight="1">
      <x:c r="A13" s="5"/>
      <x:c r="B13" s="5"/>
      <x:c r="C13" s="6" t="s">
        <x:v>14</x:v>
      </x:c>
      <x:c r="D13" s="6" t="s">
        <x:v>9</x:v>
      </x:c>
      <x:c r="E13" s="6" t="s">
        <x:v>122</x:v>
      </x:c>
      <x:c r="F13" s="6" t="s">
        <x:v>123</x:v>
      </x:c>
      <x:c r="G13" s="6">
        <x:v>1</x:v>
      </x:c>
      <x:c r="H13" s="6" t="s">
        <x:v>124</x:v>
      </x:c>
      <x:c r="I13" s="6" t="s">
        <x:v>125</x:v>
      </x:c>
      <x:c r="J13" s="6" t="s">
        <x:v>126</x:v>
      </x:c>
      <x:c r="K13" s="6" t="s">
        <x:v>127</x:v>
      </x:c>
      <x:c r="L13" s="6" t="s">
        <x:v>128</x:v>
      </x:c>
      <x:c r="M13" s="6" t="s">
        <x:v>129</x:v>
      </x:c>
    </x:row>
    <x:row r="14" ht="28.5" customHeight="1">
      <x:c r="A14" s="5"/>
      <x:c r="B14" s="5"/>
      <x:c r="C14" s="6" t="s">
        <x:v>14</x:v>
      </x:c>
      <x:c r="D14" s="6" t="s">
        <x:v>9</x:v>
      </x:c>
      <x:c r="E14" s="6" t="s">
        <x:v>122</x:v>
      </x:c>
      <x:c r="F14" s="6" t="s">
        <x:v>123</x:v>
      </x:c>
      <x:c r="G14" s="6">
        <x:v>2</x:v>
      </x:c>
      <x:c r="H14" s="6" t="s">
        <x:v>76</x:v>
      </x:c>
      <x:c r="I14" s="6" t="s">
        <x:v>130</x:v>
      </x:c>
      <x:c r="J14" s="6" t="s">
        <x:v>131</x:v>
      </x:c>
      <x:c r="K14" s="6" t="s">
        <x:v>132</x:v>
      </x:c>
      <x:c r="L14" s="6" t="s">
        <x:v>133</x:v>
      </x:c>
      <x:c r="M14" s="6" t="s">
        <x:v>134</x:v>
      </x:c>
    </x:row>
    <x:row r="15" ht="28.5" customHeight="1">
      <x:c r="A15" s="5"/>
      <x:c r="B15" s="5"/>
      <x:c r="C15" s="6" t="s">
        <x:v>14</x:v>
      </x:c>
      <x:c r="D15" s="6" t="s">
        <x:v>9</x:v>
      </x:c>
      <x:c r="E15" s="6" t="s">
        <x:v>122</x:v>
      </x:c>
      <x:c r="F15" s="6" t="s">
        <x:v>123</x:v>
      </x:c>
      <x:c r="G15" s="6">
        <x:v>3</x:v>
      </x:c>
      <x:c r="H15" s="6" t="s">
        <x:v>135</x:v>
      </x:c>
      <x:c r="I15" s="6" t="s">
        <x:v>136</x:v>
      </x:c>
      <x:c r="J15" s="6" t="s">
        <x:v>137</x:v>
      </x:c>
      <x:c r="K15" s="6" t="s">
        <x:v>138</x:v>
      </x:c>
      <x:c r="L15" s="6" t="s">
        <x:v>139</x:v>
      </x:c>
      <x:c r="M15" s="6" t="s">
        <x:v>140</x:v>
      </x:c>
    </x:row>
    <x:row r="16" ht="28.5" customHeight="1">
      <x:c r="A16" s="5"/>
      <x:c r="B16" s="5"/>
      <x:c r="C16" s="6" t="s">
        <x:v>14</x:v>
      </x:c>
      <x:c r="D16" s="6" t="s">
        <x:v>9</x:v>
      </x:c>
      <x:c r="E16" s="6" t="s">
        <x:v>122</x:v>
      </x:c>
      <x:c r="F16" s="6" t="s">
        <x:v>123</x:v>
      </x:c>
      <x:c r="G16" s="6">
        <x:v>4</x:v>
      </x:c>
      <x:c r="H16" s="6" t="s">
        <x:v>124</x:v>
      </x:c>
      <x:c r="I16" s="6" t="s">
        <x:v>141</x:v>
      </x:c>
      <x:c r="J16" s="6" t="s">
        <x:v>142</x:v>
      </x:c>
      <x:c r="K16" s="6" t="s">
        <x:v>143</x:v>
      </x:c>
      <x:c r="L16" s="6" t="s">
        <x:v>144</x:v>
      </x:c>
      <x:c r="M16" s="6" t="s">
        <x:v>145</x:v>
      </x:c>
    </x:row>
    <x:row r="17" ht="28.5" customHeight="1">
      <x:c r="A17" s="5"/>
      <x:c r="B17" s="5"/>
      <x:c r="C17" s="6" t="s">
        <x:v>14</x:v>
      </x:c>
      <x:c r="D17" s="6" t="s">
        <x:v>9</x:v>
      </x:c>
      <x:c r="E17" s="6" t="s">
        <x:v>122</x:v>
      </x:c>
      <x:c r="F17" s="6" t="s">
        <x:v>123</x:v>
      </x:c>
      <x:c r="G17" s="6">
        <x:v>5</x:v>
      </x:c>
      <x:c r="H17" s="6" t="s">
        <x:v>124</x:v>
      </x:c>
      <x:c r="I17" s="6" t="s">
        <x:v>146</x:v>
      </x:c>
      <x:c r="J17" s="6" t="s">
        <x:v>147</x:v>
      </x:c>
      <x:c r="K17" s="6" t="s">
        <x:v>148</x:v>
      </x:c>
      <x:c r="L17" s="6" t="s">
        <x:v>149</x:v>
      </x:c>
      <x:c r="M17" s="6" t="s">
        <x:v>150</x:v>
      </x:c>
    </x:row>
    <x:row r="18" ht="28.5" customHeight="1">
      <x:c r="A18" s="5"/>
      <x:c r="B18" s="5"/>
      <x:c r="C18" s="6" t="s">
        <x:v>14</x:v>
      </x:c>
      <x:c r="D18" s="6" t="s">
        <x:v>9</x:v>
      </x:c>
      <x:c r="E18" s="6" t="s">
        <x:v>122</x:v>
      </x:c>
      <x:c r="F18" s="6" t="s">
        <x:v>123</x:v>
      </x:c>
      <x:c r="G18" s="6">
        <x:v>6</x:v>
      </x:c>
      <x:c r="H18" s="6" t="s">
        <x:v>116</x:v>
      </x:c>
      <x:c r="I18" s="6" t="s">
        <x:v>117</x:v>
      </x:c>
      <x:c r="J18" s="6" t="s">
        <x:v>151</x:v>
      </x:c>
      <x:c r="K18" s="6" t="s">
        <x:v>152</x:v>
      </x:c>
      <x:c r="L18" s="6" t="s">
        <x:v>153</x:v>
      </x:c>
      <x:c r="M18" s="6" t="s">
        <x:v>154</x:v>
      </x:c>
    </x:row>
    <x:row r="19" ht="28.5" customHeight="1">
      <x:c r="A19" s="5"/>
      <x:c r="B19" s="5"/>
      <x:c r="C19" s="6" t="s">
        <x:v>14</x:v>
      </x:c>
      <x:c r="D19" s="6" t="s">
        <x:v>9</x:v>
      </x:c>
      <x:c r="E19" s="6" t="s">
        <x:v>122</x:v>
      </x:c>
      <x:c r="F19" s="6" t="s">
        <x:v>123</x:v>
      </x:c>
      <x:c r="G19" s="6">
        <x:v>7</x:v>
      </x:c>
      <x:c r="H19" s="6" t="s">
        <x:v>155</x:v>
      </x:c>
      <x:c r="I19" s="6" t="s">
        <x:v>156</x:v>
      </x:c>
      <x:c r="J19" s="6" t="s">
        <x:v>157</x:v>
      </x:c>
      <x:c r="K19" s="6" t="s">
        <x:v>158</x:v>
      </x:c>
      <x:c r="L19" s="6" t="s">
        <x:v>159</x:v>
      </x:c>
      <x:c r="M19" s="6" t="s">
        <x:v>160</x:v>
      </x:c>
    </x:row>
    <x:row r="20" ht="28.5" customHeight="1">
      <x:c r="A20" s="5"/>
      <x:c r="B20" s="5"/>
      <x:c r="C20" s="6" t="s">
        <x:v>14</x:v>
      </x:c>
      <x:c r="D20" s="6" t="s">
        <x:v>9</x:v>
      </x:c>
      <x:c r="E20" s="6" t="s">
        <x:v>122</x:v>
      </x:c>
      <x:c r="F20" s="6" t="s">
        <x:v>123</x:v>
      </x:c>
      <x:c r="G20" s="6">
        <x:v>8</x:v>
      </x:c>
      <x:c r="H20" s="6" t="s">
        <x:v>161</x:v>
      </x:c>
      <x:c r="I20" s="6" t="s">
        <x:v>162</x:v>
      </x:c>
      <x:c r="J20" s="6" t="s">
        <x:v>163</x:v>
      </x:c>
      <x:c r="K20" s="6" t="s">
        <x:v>164</x:v>
      </x:c>
      <x:c r="L20" s="6" t="s">
        <x:v>165</x:v>
      </x:c>
      <x:c r="M20" s="6" t="s">
        <x:v>166</x:v>
      </x:c>
    </x:row>
    <x:row r="21" ht="28.5" customHeight="1">
      <x:c r="A21" s="5"/>
      <x:c r="B21" s="5"/>
      <x:c r="C21" s="6" t="s">
        <x:v>14</x:v>
      </x:c>
      <x:c r="D21" s="6" t="s">
        <x:v>9</x:v>
      </x:c>
      <x:c r="E21" s="6" t="s">
        <x:v>167</x:v>
      </x:c>
      <x:c r="F21" s="6" t="s">
        <x:v>168</x:v>
      </x:c>
      <x:c r="G21" s="6">
        <x:v>1</x:v>
      </x:c>
      <x:c r="H21" s="6" t="s">
        <x:v>155</x:v>
      </x:c>
      <x:c r="I21" s="6" t="s">
        <x:v>169</x:v>
      </x:c>
      <x:c r="J21" s="6" t="s">
        <x:v>170</x:v>
      </x:c>
      <x:c r="K21" s="6" t="s">
        <x:v>171</x:v>
      </x:c>
      <x:c r="L21" s="6" t="s">
        <x:v>172</x:v>
      </x:c>
      <x:c r="M21" s="6" t="s">
        <x:v>173</x:v>
      </x:c>
    </x:row>
    <x:row r="22" ht="28.5" customHeight="1">
      <x:c r="A22" s="5"/>
      <x:c r="B22" s="5"/>
      <x:c r="C22" s="6" t="s">
        <x:v>14</x:v>
      </x:c>
      <x:c r="D22" s="6" t="s">
        <x:v>9</x:v>
      </x:c>
      <x:c r="E22" s="6" t="s">
        <x:v>167</x:v>
      </x:c>
      <x:c r="F22" s="6" t="s">
        <x:v>168</x:v>
      </x:c>
      <x:c r="G22" s="6">
        <x:v>2</x:v>
      </x:c>
      <x:c r="H22" s="6" t="s">
        <x:v>174</x:v>
      </x:c>
      <x:c r="I22" s="6" t="s">
        <x:v>175</x:v>
      </x:c>
      <x:c r="J22" s="6" t="s">
        <x:v>176</x:v>
      </x:c>
      <x:c r="K22" s="6" t="s">
        <x:v>177</x:v>
      </x:c>
      <x:c r="L22" s="6" t="s">
        <x:v>178</x:v>
      </x:c>
      <x:c r="M22" s="6" t="s">
        <x:v>179</x:v>
      </x:c>
    </x:row>
    <x:row r="23" ht="28.5" customHeight="1">
      <x:c r="A23" s="5"/>
      <x:c r="B23" s="5"/>
      <x:c r="C23" s="6" t="s">
        <x:v>14</x:v>
      </x:c>
      <x:c r="D23" s="6" t="s">
        <x:v>9</x:v>
      </x:c>
      <x:c r="E23" s="6" t="s">
        <x:v>167</x:v>
      </x:c>
      <x:c r="F23" s="6" t="s">
        <x:v>168</x:v>
      </x:c>
      <x:c r="G23" s="6">
        <x:v>3</x:v>
      </x:c>
      <x:c r="H23" s="6" t="s">
        <x:v>76</x:v>
      </x:c>
      <x:c r="I23" s="6" t="s">
        <x:v>180</x:v>
      </x:c>
      <x:c r="J23" s="6" t="s">
        <x:v>181</x:v>
      </x:c>
      <x:c r="K23" s="6" t="s">
        <x:v>182</x:v>
      </x:c>
      <x:c r="L23" s="6" t="s">
        <x:v>183</x:v>
      </x:c>
      <x:c r="M23" s="6" t="s">
        <x:v>184</x:v>
      </x:c>
    </x:row>
    <x:row r="24" ht="28.5" customHeight="1">
      <x:c r="A24" s="5"/>
      <x:c r="B24" s="5"/>
      <x:c r="C24" s="6" t="s">
        <x:v>14</x:v>
      </x:c>
      <x:c r="D24" s="6" t="s">
        <x:v>9</x:v>
      </x:c>
      <x:c r="E24" s="6" t="s">
        <x:v>167</x:v>
      </x:c>
      <x:c r="F24" s="6" t="s">
        <x:v>168</x:v>
      </x:c>
      <x:c r="G24" s="6">
        <x:v>4</x:v>
      </x:c>
      <x:c r="H24" s="6" t="s">
        <x:v>116</x:v>
      </x:c>
      <x:c r="I24" s="6" t="s">
        <x:v>185</x:v>
      </x:c>
      <x:c r="J24" s="6" t="s">
        <x:v>186</x:v>
      </x:c>
      <x:c r="K24" s="6" t="s">
        <x:v>187</x:v>
      </x:c>
      <x:c r="L24" s="6" t="s">
        <x:v>188</x:v>
      </x:c>
      <x:c r="M24" s="6" t="s">
        <x:v>189</x:v>
      </x:c>
    </x:row>
    <x:row r="25" ht="28.5" customHeight="1">
      <x:c r="A25" s="5"/>
      <x:c r="B25" s="5"/>
      <x:c r="C25" s="6" t="s">
        <x:v>14</x:v>
      </x:c>
      <x:c r="D25" s="6" t="s">
        <x:v>9</x:v>
      </x:c>
      <x:c r="E25" s="6" t="s">
        <x:v>167</x:v>
      </x:c>
      <x:c r="F25" s="6" t="s">
        <x:v>168</x:v>
      </x:c>
      <x:c r="G25" s="6">
        <x:v>5</x:v>
      </x:c>
      <x:c r="H25" s="6" t="s">
        <x:v>135</x:v>
      </x:c>
      <x:c r="I25" s="6" t="s">
        <x:v>190</x:v>
      </x:c>
      <x:c r="J25" s="6" t="s">
        <x:v>191</x:v>
      </x:c>
      <x:c r="K25" s="6" t="s">
        <x:v>192</x:v>
      </x:c>
      <x:c r="L25" s="6" t="s">
        <x:v>193</x:v>
      </x:c>
      <x:c r="M25" s="6" t="s">
        <x:v>194</x:v>
      </x:c>
    </x:row>
    <x:row r="26" ht="28.5" customHeight="1">
      <x:c r="A26" s="5"/>
      <x:c r="B26" s="5"/>
      <x:c r="C26" s="6" t="s">
        <x:v>14</x:v>
      </x:c>
      <x:c r="D26" s="6" t="s">
        <x:v>9</x:v>
      </x:c>
      <x:c r="E26" s="6" t="s">
        <x:v>167</x:v>
      </x:c>
      <x:c r="F26" s="6" t="s">
        <x:v>168</x:v>
      </x:c>
      <x:c r="G26" s="6">
        <x:v>6</x:v>
      </x:c>
      <x:c r="H26" s="6" t="s">
        <x:v>124</x:v>
      </x:c>
      <x:c r="I26" s="6" t="s">
        <x:v>195</x:v>
      </x:c>
      <x:c r="J26" s="6" t="s">
        <x:v>196</x:v>
      </x:c>
      <x:c r="K26" s="6" t="s">
        <x:v>197</x:v>
      </x:c>
      <x:c r="L26" s="6" t="s">
        <x:v>198</x:v>
      </x:c>
      <x:c r="M26" s="6" t="s">
        <x:v>199</x:v>
      </x:c>
    </x:row>
    <x:row r="27" ht="28.5" customHeight="1">
      <x:c r="A27" s="5"/>
      <x:c r="B27" s="5"/>
      <x:c r="C27" s="6" t="s">
        <x:v>14</x:v>
      </x:c>
      <x:c r="D27" s="6" t="s">
        <x:v>9</x:v>
      </x:c>
      <x:c r="E27" s="6" t="s">
        <x:v>167</x:v>
      </x:c>
      <x:c r="F27" s="6" t="s">
        <x:v>168</x:v>
      </x:c>
      <x:c r="G27" s="6">
        <x:v>7</x:v>
      </x:c>
      <x:c r="H27" s="6" t="s">
        <x:v>200</x:v>
      </x:c>
      <x:c r="I27" s="6" t="s">
        <x:v>201</x:v>
      </x:c>
      <x:c r="J27" s="6" t="s">
        <x:v>202</x:v>
      </x:c>
      <x:c r="K27" s="6" t="s">
        <x:v>203</x:v>
      </x:c>
      <x:c r="L27" s="6" t="s">
        <x:v>204</x:v>
      </x:c>
      <x:c r="M27" s="6" t="s">
        <x:v>205</x:v>
      </x:c>
    </x:row>
    <x:row r="28" ht="28.5" customHeight="1">
      <x:c r="A28" s="5"/>
      <x:c r="B28" s="5"/>
      <x:c r="C28" s="6" t="s">
        <x:v>14</x:v>
      </x:c>
      <x:c r="D28" s="6" t="s">
        <x:v>9</x:v>
      </x:c>
      <x:c r="E28" s="6" t="s">
        <x:v>167</x:v>
      </x:c>
      <x:c r="F28" s="6" t="s">
        <x:v>168</x:v>
      </x:c>
      <x:c r="G28" s="6">
        <x:v>8</x:v>
      </x:c>
      <x:c r="H28" s="6" t="s">
        <x:v>206</x:v>
      </x:c>
      <x:c r="I28" s="6" t="s">
        <x:v>207</x:v>
      </x:c>
      <x:c r="J28" s="6" t="s">
        <x:v>208</x:v>
      </x:c>
      <x:c r="K28" s="6" t="s">
        <x:v>209</x:v>
      </x:c>
      <x:c r="L28" s="6" t="s">
        <x:v>210</x:v>
      </x:c>
      <x:c r="M28" s="6" t="s">
        <x:v>211</x:v>
      </x:c>
    </x:row>
    <x:row r="29" ht="28.5" customHeight="1">
      <x:c r="A29" s="5"/>
      <x:c r="B29" s="5"/>
      <x:c r="C29" s="6" t="s">
        <x:v>14</x:v>
      </x:c>
      <x:c r="D29" s="6" t="s">
        <x:v>9</x:v>
      </x:c>
      <x:c r="E29" s="6" t="s">
        <x:v>212</x:v>
      </x:c>
      <x:c r="F29" s="6" t="s">
        <x:v>213</x:v>
      </x:c>
      <x:c r="G29" s="6">
        <x:v>1</x:v>
      </x:c>
      <x:c r="H29" s="6" t="s">
        <x:v>110</x:v>
      </x:c>
      <x:c r="I29" s="6" t="s">
        <x:v>214</x:v>
      </x:c>
      <x:c r="J29" s="6" t="s">
        <x:v>215</x:v>
      </x:c>
      <x:c r="K29" s="6" t="s">
        <x:v>216</x:v>
      </x:c>
      <x:c r="L29" s="6" t="s">
        <x:v>217</x:v>
      </x:c>
      <x:c r="M29" s="6" t="s">
        <x:v>218</x:v>
      </x:c>
    </x:row>
    <x:row r="30" ht="28.5" customHeight="1">
      <x:c r="A30" s="5"/>
      <x:c r="B30" s="5"/>
      <x:c r="C30" s="6" t="s">
        <x:v>14</x:v>
      </x:c>
      <x:c r="D30" s="6" t="s">
        <x:v>9</x:v>
      </x:c>
      <x:c r="E30" s="6" t="s">
        <x:v>212</x:v>
      </x:c>
      <x:c r="F30" s="6" t="s">
        <x:v>213</x:v>
      </x:c>
      <x:c r="G30" s="6">
        <x:v>2</x:v>
      </x:c>
      <x:c r="H30" s="6" t="s">
        <x:v>161</x:v>
      </x:c>
      <x:c r="I30" s="6" t="s">
        <x:v>219</x:v>
      </x:c>
      <x:c r="J30" s="6" t="s">
        <x:v>220</x:v>
      </x:c>
      <x:c r="K30" s="6" t="s">
        <x:v>221</x:v>
      </x:c>
      <x:c r="L30" s="6" t="s">
        <x:v>222</x:v>
      </x:c>
      <x:c r="M30" s="6" t="s">
        <x:v>223</x:v>
      </x:c>
    </x:row>
    <x:row r="31" ht="28.5" customHeight="1">
      <x:c r="A31" s="5"/>
      <x:c r="B31" s="5"/>
      <x:c r="C31" s="6" t="s">
        <x:v>14</x:v>
      </x:c>
      <x:c r="D31" s="6" t="s">
        <x:v>9</x:v>
      </x:c>
      <x:c r="E31" s="6" t="s">
        <x:v>212</x:v>
      </x:c>
      <x:c r="F31" s="6" t="s">
        <x:v>213</x:v>
      </x:c>
      <x:c r="G31" s="6">
        <x:v>3</x:v>
      </x:c>
      <x:c r="H31" s="6" t="s">
        <x:v>161</x:v>
      </x:c>
      <x:c r="I31" s="6" t="s">
        <x:v>224</x:v>
      </x:c>
      <x:c r="J31" s="6" t="s">
        <x:v>225</x:v>
      </x:c>
      <x:c r="K31" s="6" t="s">
        <x:v>226</x:v>
      </x:c>
      <x:c r="L31" s="6" t="s">
        <x:v>227</x:v>
      </x:c>
      <x:c r="M31" s="6" t="s">
        <x:v>228</x:v>
      </x:c>
    </x:row>
    <x:row r="32" ht="28.5" customHeight="1">
      <x:c r="A32" s="5"/>
      <x:c r="B32" s="5"/>
      <x:c r="C32" s="6" t="s">
        <x:v>14</x:v>
      </x:c>
      <x:c r="D32" s="6" t="s">
        <x:v>9</x:v>
      </x:c>
      <x:c r="E32" s="6" t="s">
        <x:v>212</x:v>
      </x:c>
      <x:c r="F32" s="6" t="s">
        <x:v>213</x:v>
      </x:c>
      <x:c r="G32" s="6">
        <x:v>4</x:v>
      </x:c>
      <x:c r="H32" s="6" t="s">
        <x:v>116</x:v>
      </x:c>
      <x:c r="I32" s="6" t="s">
        <x:v>185</x:v>
      </x:c>
      <x:c r="J32" s="6" t="s">
        <x:v>229</x:v>
      </x:c>
      <x:c r="K32" s="6" t="s">
        <x:v>187</x:v>
      </x:c>
      <x:c r="L32" s="6" t="s">
        <x:v>188</x:v>
      </x:c>
      <x:c r="M32" s="6" t="s">
        <x:v>230</x:v>
      </x:c>
    </x:row>
    <x:row r="33" ht="28.5" customHeight="1">
      <x:c r="A33" s="5"/>
      <x:c r="B33" s="5"/>
      <x:c r="C33" s="6" t="s">
        <x:v>14</x:v>
      </x:c>
      <x:c r="D33" s="6" t="s">
        <x:v>9</x:v>
      </x:c>
      <x:c r="E33" s="6" t="s">
        <x:v>212</x:v>
      </x:c>
      <x:c r="F33" s="6" t="s">
        <x:v>213</x:v>
      </x:c>
      <x:c r="G33" s="6">
        <x:v>5</x:v>
      </x:c>
      <x:c r="H33" s="6" t="s">
        <x:v>124</x:v>
      </x:c>
      <x:c r="I33" s="6" t="s">
        <x:v>231</x:v>
      </x:c>
      <x:c r="J33" s="6" t="s">
        <x:v>232</x:v>
      </x:c>
      <x:c r="K33" s="6" t="s">
        <x:v>233</x:v>
      </x:c>
      <x:c r="L33" s="6" t="s">
        <x:v>234</x:v>
      </x:c>
      <x:c r="M33" s="6" t="s">
        <x:v>235</x:v>
      </x:c>
    </x:row>
    <x:row r="34" ht="28.5" customHeight="1">
      <x:c r="A34" s="5"/>
      <x:c r="B34" s="5"/>
      <x:c r="C34" s="6" t="s">
        <x:v>14</x:v>
      </x:c>
      <x:c r="D34" s="6" t="s">
        <x:v>9</x:v>
      </x:c>
      <x:c r="E34" s="6" t="s">
        <x:v>212</x:v>
      </x:c>
      <x:c r="F34" s="6" t="s">
        <x:v>213</x:v>
      </x:c>
      <x:c r="G34" s="6">
        <x:v>6</x:v>
      </x:c>
      <x:c r="H34" s="6" t="s">
        <x:v>236</x:v>
      </x:c>
      <x:c r="I34" s="6" t="s">
        <x:v>237</x:v>
      </x:c>
      <x:c r="J34" s="6" t="s">
        <x:v>238</x:v>
      </x:c>
      <x:c r="K34" s="6" t="s">
        <x:v>239</x:v>
      </x:c>
      <x:c r="L34" s="6" t="s">
        <x:v>240</x:v>
      </x:c>
      <x:c r="M34" s="6" t="s">
        <x:v>241</x:v>
      </x:c>
    </x:row>
    <x:row r="35" ht="28.5" customHeight="1">
      <x:c r="A35" s="5"/>
      <x:c r="B35" s="5"/>
      <x:c r="C35" s="6" t="s">
        <x:v>14</x:v>
      </x:c>
      <x:c r="D35" s="6" t="s">
        <x:v>9</x:v>
      </x:c>
      <x:c r="E35" s="6" t="s">
        <x:v>212</x:v>
      </x:c>
      <x:c r="F35" s="6" t="s">
        <x:v>213</x:v>
      </x:c>
      <x:c r="G35" s="6">
        <x:v>7</x:v>
      </x:c>
      <x:c r="H35" s="6" t="s">
        <x:v>124</x:v>
      </x:c>
      <x:c r="I35" s="6" t="s">
        <x:v>242</x:v>
      </x:c>
      <x:c r="J35" s="6" t="s">
        <x:v>243</x:v>
      </x:c>
      <x:c r="K35" s="6" t="s">
        <x:v>244</x:v>
      </x:c>
      <x:c r="L35" s="6" t="s">
        <x:v>245</x:v>
      </x:c>
      <x:c r="M35" s="6" t="s">
        <x:v>246</x:v>
      </x:c>
    </x:row>
    <x:row r="36" ht="28.5" customHeight="1">
      <x:c r="A36" s="5"/>
      <x:c r="B36" s="5"/>
      <x:c r="C36" s="6" t="s">
        <x:v>14</x:v>
      </x:c>
      <x:c r="D36" s="6" t="s">
        <x:v>9</x:v>
      </x:c>
      <x:c r="E36" s="6" t="s">
        <x:v>212</x:v>
      </x:c>
      <x:c r="F36" s="6" t="s">
        <x:v>213</x:v>
      </x:c>
      <x:c r="G36" s="6">
        <x:v>8</x:v>
      </x:c>
      <x:c r="H36" s="6" t="s">
        <x:v>155</x:v>
      </x:c>
      <x:c r="I36" s="6" t="s">
        <x:v>247</x:v>
      </x:c>
      <x:c r="J36" s="6" t="s">
        <x:v>248</x:v>
      </x:c>
      <x:c r="K36" s="6" t="s">
        <x:v>249</x:v>
      </x:c>
      <x:c r="L36" s="6" t="s">
        <x:v>250</x:v>
      </x:c>
      <x:c r="M36" s="6" t="s">
        <x:v>251</x:v>
      </x:c>
    </x:row>
    <x:row r="37" ht="28.5" customHeight="1">
      <x:c r="A37" s="5"/>
      <x:c r="B37" s="5"/>
      <x:c r="C37" s="6" t="s">
        <x:v>14</x:v>
      </x:c>
      <x:c r="D37" s="6" t="s">
        <x:v>9</x:v>
      </x:c>
      <x:c r="E37" s="6" t="s">
        <x:v>252</x:v>
      </x:c>
      <x:c r="F37" s="6" t="s">
        <x:v>213</x:v>
      </x:c>
      <x:c r="G37" s="6">
        <x:v>1</x:v>
      </x:c>
      <x:c r="H37" s="6" t="s">
        <x:v>135</x:v>
      </x:c>
      <x:c r="I37" s="6" t="s">
        <x:v>253</x:v>
      </x:c>
      <x:c r="J37" s="6" t="s">
        <x:v>254</x:v>
      </x:c>
      <x:c r="K37" s="6" t="s">
        <x:v>255</x:v>
      </x:c>
      <x:c r="L37" s="6" t="s">
        <x:v>256</x:v>
      </x:c>
      <x:c r="M37" s="6" t="s">
        <x:v>257</x:v>
      </x:c>
    </x:row>
    <x:row r="38" ht="28.5" customHeight="1">
      <x:c r="A38" s="5"/>
      <x:c r="B38" s="5"/>
      <x:c r="C38" s="6" t="s">
        <x:v>14</x:v>
      </x:c>
      <x:c r="D38" s="6" t="s">
        <x:v>9</x:v>
      </x:c>
      <x:c r="E38" s="6" t="s">
        <x:v>252</x:v>
      </x:c>
      <x:c r="F38" s="6" t="s">
        <x:v>213</x:v>
      </x:c>
      <x:c r="G38" s="6">
        <x:v>2</x:v>
      </x:c>
      <x:c r="H38" s="6" t="s">
        <x:v>124</x:v>
      </x:c>
      <x:c r="I38" s="6" t="s">
        <x:v>258</x:v>
      </x:c>
      <x:c r="J38" s="6" t="s">
        <x:v>259</x:v>
      </x:c>
      <x:c r="K38" s="6" t="s">
        <x:v>260</x:v>
      </x:c>
      <x:c r="L38" s="6" t="s">
        <x:v>261</x:v>
      </x:c>
      <x:c r="M38" s="6" t="s">
        <x:v>262</x:v>
      </x:c>
    </x:row>
    <x:row r="39" ht="28.5" customHeight="1">
      <x:c r="A39" s="5"/>
      <x:c r="B39" s="5"/>
      <x:c r="C39" s="6" t="s">
        <x:v>14</x:v>
      </x:c>
      <x:c r="D39" s="6" t="s">
        <x:v>9</x:v>
      </x:c>
      <x:c r="E39" s="6" t="s">
        <x:v>252</x:v>
      </x:c>
      <x:c r="F39" s="6" t="s">
        <x:v>213</x:v>
      </x:c>
      <x:c r="G39" s="6">
        <x:v>3</x:v>
      </x:c>
      <x:c r="H39" s="6" t="s">
        <x:v>263</x:v>
      </x:c>
      <x:c r="I39" s="6" t="s">
        <x:v>264</x:v>
      </x:c>
      <x:c r="J39" s="6" t="s">
        <x:v>265</x:v>
      </x:c>
      <x:c r="K39" s="6" t="s">
        <x:v>266</x:v>
      </x:c>
      <x:c r="L39" s="6" t="s">
        <x:v>267</x:v>
      </x:c>
      <x:c r="M39" s="6" t="s">
        <x:v>268</x:v>
      </x:c>
    </x:row>
    <x:row r="40" ht="28.5" customHeight="1">
      <x:c r="A40" s="5"/>
      <x:c r="B40" s="5"/>
      <x:c r="C40" s="6" t="s">
        <x:v>14</x:v>
      </x:c>
      <x:c r="D40" s="6" t="s">
        <x:v>9</x:v>
      </x:c>
      <x:c r="E40" s="6" t="s">
        <x:v>252</x:v>
      </x:c>
      <x:c r="F40" s="6" t="s">
        <x:v>213</x:v>
      </x:c>
      <x:c r="G40" s="6">
        <x:v>4</x:v>
      </x:c>
      <x:c r="H40" s="6" t="s">
        <x:v>161</x:v>
      </x:c>
      <x:c r="I40" s="6" t="s">
        <x:v>269</x:v>
      </x:c>
      <x:c r="J40" s="6" t="s">
        <x:v>270</x:v>
      </x:c>
      <x:c r="K40" s="6" t="s">
        <x:v>271</x:v>
      </x:c>
      <x:c r="L40" s="6" t="s">
        <x:v>272</x:v>
      </x:c>
      <x:c r="M40" s="6" t="s">
        <x:v>273</x:v>
      </x:c>
    </x:row>
    <x:row r="41" ht="28.5" customHeight="1">
      <x:c r="A41" s="5"/>
      <x:c r="B41" s="5"/>
      <x:c r="C41" s="6" t="s">
        <x:v>14</x:v>
      </x:c>
      <x:c r="D41" s="6" t="s">
        <x:v>9</x:v>
      </x:c>
      <x:c r="E41" s="6" t="s">
        <x:v>252</x:v>
      </x:c>
      <x:c r="F41" s="6" t="s">
        <x:v>213</x:v>
      </x:c>
      <x:c r="G41" s="6">
        <x:v>5</x:v>
      </x:c>
      <x:c r="H41" s="6" t="s">
        <x:v>236</x:v>
      </x:c>
      <x:c r="I41" s="6" t="s">
        <x:v>237</x:v>
      </x:c>
      <x:c r="J41" s="6" t="s">
        <x:v>274</x:v>
      </x:c>
      <x:c r="K41" s="6" t="s">
        <x:v>275</x:v>
      </x:c>
      <x:c r="L41" s="6" t="s">
        <x:v>276</x:v>
      </x:c>
      <x:c r="M41" s="6" t="s">
        <x:v>277</x:v>
      </x:c>
    </x:row>
    <x:row r="42" ht="28.5" customHeight="1">
      <x:c r="A42" s="5"/>
      <x:c r="B42" s="5"/>
      <x:c r="C42" s="6" t="s">
        <x:v>14</x:v>
      </x:c>
      <x:c r="D42" s="6" t="s">
        <x:v>9</x:v>
      </x:c>
      <x:c r="E42" s="6" t="s">
        <x:v>252</x:v>
      </x:c>
      <x:c r="F42" s="6" t="s">
        <x:v>213</x:v>
      </x:c>
      <x:c r="G42" s="6">
        <x:v>6</x:v>
      </x:c>
      <x:c r="H42" s="6" t="s">
        <x:v>82</x:v>
      </x:c>
      <x:c r="I42" s="6" t="s">
        <x:v>278</x:v>
      </x:c>
      <x:c r="J42" s="6" t="s">
        <x:v>279</x:v>
      </x:c>
      <x:c r="K42" s="6" t="s">
        <x:v>280</x:v>
      </x:c>
      <x:c r="L42" s="6" t="s">
        <x:v>281</x:v>
      </x:c>
      <x:c r="M42" s="6" t="s">
        <x:v>282</x:v>
      </x:c>
    </x:row>
    <x:row r="43" ht="28.5" customHeight="1">
      <x:c r="A43" s="5"/>
      <x:c r="B43" s="5"/>
      <x:c r="C43" s="6" t="s">
        <x:v>14</x:v>
      </x:c>
      <x:c r="D43" s="6" t="s">
        <x:v>9</x:v>
      </x:c>
      <x:c r="E43" s="6" t="s">
        <x:v>252</x:v>
      </x:c>
      <x:c r="F43" s="6" t="s">
        <x:v>213</x:v>
      </x:c>
      <x:c r="G43" s="6">
        <x:v>7</x:v>
      </x:c>
      <x:c r="H43" s="6" t="s">
        <x:v>283</x:v>
      </x:c>
      <x:c r="I43" s="6" t="s">
        <x:v>284</x:v>
      </x:c>
      <x:c r="J43" s="6" t="s">
        <x:v>285</x:v>
      </x:c>
      <x:c r="K43" s="6" t="s">
        <x:v>286</x:v>
      </x:c>
      <x:c r="L43" s="6" t="s">
        <x:v>287</x:v>
      </x:c>
      <x:c r="M43" s="6" t="s">
        <x:v>288</x:v>
      </x:c>
    </x:row>
    <x:row r="44" ht="28.5" customHeight="1">
      <x:c r="A44" s="5"/>
      <x:c r="B44" s="5"/>
      <x:c r="C44" s="6" t="s">
        <x:v>14</x:v>
      </x:c>
      <x:c r="D44" s="6" t="s">
        <x:v>9</x:v>
      </x:c>
      <x:c r="E44" s="6" t="s">
        <x:v>252</x:v>
      </x:c>
      <x:c r="F44" s="6" t="s">
        <x:v>213</x:v>
      </x:c>
      <x:c r="G44" s="6">
        <x:v>8</x:v>
      </x:c>
      <x:c r="H44" s="6" t="s">
        <x:v>110</x:v>
      </x:c>
      <x:c r="I44" s="6" t="s">
        <x:v>111</x:v>
      </x:c>
      <x:c r="J44" s="6" t="s">
        <x:v>289</x:v>
      </x:c>
      <x:c r="K44" s="6" t="s">
        <x:v>290</x:v>
      </x:c>
      <x:c r="L44" s="6" t="s">
        <x:v>291</x:v>
      </x:c>
      <x:c r="M44" s="6" t="s">
        <x:v>292</x:v>
      </x:c>
    </x:row>
    <x:row r="45" ht="28.5" customHeight="1">
      <x:c r="A45" s="5"/>
      <x:c r="B45" s="5"/>
      <x:c r="C45" s="6" t="s">
        <x:v>14</x:v>
      </x:c>
      <x:c r="D45" s="6" t="s">
        <x:v>9</x:v>
      </x:c>
      <x:c r="E45" s="6" t="s">
        <x:v>293</x:v>
      </x:c>
      <x:c r="F45" s="6" t="s">
        <x:v>294</x:v>
      </x:c>
      <x:c r="G45" s="6">
        <x:v>1</x:v>
      </x:c>
      <x:c r="H45" s="6" t="s">
        <x:v>161</x:v>
      </x:c>
      <x:c r="I45" s="6" t="s">
        <x:v>224</x:v>
      </x:c>
      <x:c r="J45" s="6" t="s">
        <x:v>295</x:v>
      </x:c>
      <x:c r="K45" s="6" t="s">
        <x:v>296</x:v>
      </x:c>
      <x:c r="L45" s="6" t="s">
        <x:v>297</x:v>
      </x:c>
      <x:c r="M45" s="6" t="s">
        <x:v>298</x:v>
      </x:c>
    </x:row>
    <x:row r="46" ht="28.5" customHeight="1">
      <x:c r="A46" s="5"/>
      <x:c r="B46" s="5"/>
      <x:c r="C46" s="6" t="s">
        <x:v>14</x:v>
      </x:c>
      <x:c r="D46" s="6" t="s">
        <x:v>9</x:v>
      </x:c>
      <x:c r="E46" s="6" t="s">
        <x:v>293</x:v>
      </x:c>
      <x:c r="F46" s="6" t="s">
        <x:v>294</x:v>
      </x:c>
      <x:c r="G46" s="6">
        <x:v>2</x:v>
      </x:c>
      <x:c r="H46" s="6" t="s">
        <x:v>116</x:v>
      </x:c>
      <x:c r="I46" s="6" t="s">
        <x:v>117</x:v>
      </x:c>
      <x:c r="J46" s="6" t="s">
        <x:v>299</x:v>
      </x:c>
      <x:c r="K46" s="6" t="s">
        <x:v>300</x:v>
      </x:c>
      <x:c r="L46" s="6" t="s">
        <x:v>301</x:v>
      </x:c>
      <x:c r="M46" s="6" t="s">
        <x:v>302</x:v>
      </x:c>
    </x:row>
    <x:row r="47" ht="28.5" customHeight="1">
      <x:c r="A47" s="5"/>
      <x:c r="B47" s="5"/>
      <x:c r="C47" s="6" t="s">
        <x:v>14</x:v>
      </x:c>
      <x:c r="D47" s="6" t="s">
        <x:v>9</x:v>
      </x:c>
      <x:c r="E47" s="6" t="s">
        <x:v>293</x:v>
      </x:c>
      <x:c r="F47" s="6" t="s">
        <x:v>294</x:v>
      </x:c>
      <x:c r="G47" s="6">
        <x:v>3</x:v>
      </x:c>
      <x:c r="H47" s="6" t="s">
        <x:v>303</x:v>
      </x:c>
      <x:c r="I47" s="6" t="s">
        <x:v>304</x:v>
      </x:c>
      <x:c r="J47" s="6" t="s">
        <x:v>305</x:v>
      </x:c>
      <x:c r="K47" s="6" t="s">
        <x:v>306</x:v>
      </x:c>
      <x:c r="L47" s="6" t="s">
        <x:v>307</x:v>
      </x:c>
      <x:c r="M47" s="6" t="s">
        <x:v>308</x:v>
      </x:c>
    </x:row>
    <x:row r="48" ht="28.5" customHeight="1">
      <x:c r="A48" s="5"/>
      <x:c r="B48" s="5"/>
      <x:c r="C48" s="6" t="s">
        <x:v>14</x:v>
      </x:c>
      <x:c r="D48" s="6" t="s">
        <x:v>9</x:v>
      </x:c>
      <x:c r="E48" s="6" t="s">
        <x:v>293</x:v>
      </x:c>
      <x:c r="F48" s="6" t="s">
        <x:v>294</x:v>
      </x:c>
      <x:c r="G48" s="6">
        <x:v>4</x:v>
      </x:c>
      <x:c r="H48" s="6" t="s">
        <x:v>110</x:v>
      </x:c>
      <x:c r="I48" s="6" t="s">
        <x:v>309</x:v>
      </x:c>
      <x:c r="J48" s="6" t="s">
        <x:v>310</x:v>
      </x:c>
      <x:c r="K48" s="6" t="s">
        <x:v>311</x:v>
      </x:c>
      <x:c r="L48" s="6" t="s">
        <x:v>312</x:v>
      </x:c>
      <x:c r="M48" s="6" t="s">
        <x:v>313</x:v>
      </x:c>
    </x:row>
    <x:row r="49" ht="28.5" customHeight="1">
      <x:c r="A49" s="5"/>
      <x:c r="B49" s="5"/>
      <x:c r="C49" s="6" t="s">
        <x:v>14</x:v>
      </x:c>
      <x:c r="D49" s="6" t="s">
        <x:v>9</x:v>
      </x:c>
      <x:c r="E49" s="6" t="s">
        <x:v>293</x:v>
      </x:c>
      <x:c r="F49" s="6" t="s">
        <x:v>294</x:v>
      </x:c>
      <x:c r="G49" s="6">
        <x:v>5</x:v>
      </x:c>
      <x:c r="H49" s="6" t="s">
        <x:v>110</x:v>
      </x:c>
      <x:c r="I49" s="6" t="s">
        <x:v>314</x:v>
      </x:c>
      <x:c r="J49" s="6" t="s">
        <x:v>315</x:v>
      </x:c>
      <x:c r="K49" s="6" t="s">
        <x:v>316</x:v>
      </x:c>
      <x:c r="L49" s="6" t="s">
        <x:v>317</x:v>
      </x:c>
      <x:c r="M49" s="6" t="s">
        <x:v>318</x:v>
      </x:c>
    </x:row>
    <x:row r="50" ht="28.5" customHeight="1">
      <x:c r="A50" s="5"/>
      <x:c r="B50" s="5"/>
      <x:c r="C50" s="6" t="s">
        <x:v>14</x:v>
      </x:c>
      <x:c r="D50" s="6" t="s">
        <x:v>9</x:v>
      </x:c>
      <x:c r="E50" s="6" t="s">
        <x:v>293</x:v>
      </x:c>
      <x:c r="F50" s="6" t="s">
        <x:v>294</x:v>
      </x:c>
      <x:c r="G50" s="6">
        <x:v>6</x:v>
      </x:c>
      <x:c r="H50" s="6" t="s">
        <x:v>161</x:v>
      </x:c>
      <x:c r="I50" s="6" t="s">
        <x:v>319</x:v>
      </x:c>
      <x:c r="J50" s="6" t="s">
        <x:v>320</x:v>
      </x:c>
      <x:c r="K50" s="6" t="s">
        <x:v>321</x:v>
      </x:c>
      <x:c r="L50" s="6" t="s">
        <x:v>322</x:v>
      </x:c>
      <x:c r="M50" s="6" t="s">
        <x:v>323</x:v>
      </x:c>
    </x:row>
    <x:row r="51" ht="28.5" customHeight="1">
      <x:c r="A51" s="5"/>
      <x:c r="B51" s="5"/>
      <x:c r="C51" s="6" t="s">
        <x:v>14</x:v>
      </x:c>
      <x:c r="D51" s="6" t="s">
        <x:v>9</x:v>
      </x:c>
      <x:c r="E51" s="6" t="s">
        <x:v>293</x:v>
      </x:c>
      <x:c r="F51" s="6" t="s">
        <x:v>294</x:v>
      </x:c>
      <x:c r="G51" s="6">
        <x:v>7</x:v>
      </x:c>
      <x:c r="H51" s="6" t="s">
        <x:v>110</x:v>
      </x:c>
      <x:c r="I51" s="6" t="s">
        <x:v>324</x:v>
      </x:c>
      <x:c r="J51" s="6" t="s">
        <x:v>325</x:v>
      </x:c>
      <x:c r="K51" s="6" t="s">
        <x:v>326</x:v>
      </x:c>
      <x:c r="L51" s="6" t="s">
        <x:v>327</x:v>
      </x:c>
      <x:c r="M51" s="6" t="s">
        <x:v>328</x:v>
      </x:c>
    </x:row>
    <x:row r="52" ht="28.5" customHeight="1">
      <x:c r="A52" s="5"/>
      <x:c r="B52" s="5"/>
      <x:c r="C52" s="6" t="s">
        <x:v>14</x:v>
      </x:c>
      <x:c r="D52" s="6" t="s">
        <x:v>9</x:v>
      </x:c>
      <x:c r="E52" s="6" t="s">
        <x:v>293</x:v>
      </x:c>
      <x:c r="F52" s="6" t="s">
        <x:v>294</x:v>
      </x:c>
      <x:c r="G52" s="6">
        <x:v>8</x:v>
      </x:c>
      <x:c r="H52" s="6" t="s">
        <x:v>124</x:v>
      </x:c>
      <x:c r="I52" s="6" t="s">
        <x:v>329</x:v>
      </x:c>
      <x:c r="J52" s="6" t="s">
        <x:v>330</x:v>
      </x:c>
      <x:c r="K52" s="6" t="s">
        <x:v>331</x:v>
      </x:c>
      <x:c r="L52" s="6" t="s">
        <x:v>332</x:v>
      </x:c>
      <x:c r="M52" s="6" t="s">
        <x:v>333</x:v>
      </x:c>
    </x:row>
    <x:row r="53" ht="28.5" customHeight="1">
      <x:c r="A53" s="5"/>
      <x:c r="B53" s="5"/>
      <x:c r="C53" s="6" t="s">
        <x:v>14</x:v>
      </x:c>
      <x:c r="D53" s="6" t="s">
        <x:v>9</x:v>
      </x:c>
      <x:c r="E53" s="6" t="s">
        <x:v>334</x:v>
      </x:c>
      <x:c r="F53" s="6" t="s">
        <x:v>294</x:v>
      </x:c>
      <x:c r="G53" s="6">
        <x:v>1</x:v>
      </x:c>
      <x:c r="H53" s="6" t="s">
        <x:v>155</x:v>
      </x:c>
      <x:c r="I53" s="6" t="s">
        <x:v>335</x:v>
      </x:c>
      <x:c r="J53" s="6" t="s">
        <x:v>336</x:v>
      </x:c>
      <x:c r="K53" s="6" t="s">
        <x:v>337</x:v>
      </x:c>
      <x:c r="L53" s="6" t="s">
        <x:v>338</x:v>
      </x:c>
      <x:c r="M53" s="6" t="s">
        <x:v>339</x:v>
      </x:c>
    </x:row>
    <x:row r="54" ht="28.5" customHeight="1">
      <x:c r="A54" s="5"/>
      <x:c r="B54" s="5"/>
      <x:c r="C54" s="6" t="s">
        <x:v>14</x:v>
      </x:c>
      <x:c r="D54" s="6" t="s">
        <x:v>9</x:v>
      </x:c>
      <x:c r="E54" s="6" t="s">
        <x:v>334</x:v>
      </x:c>
      <x:c r="F54" s="6" t="s">
        <x:v>294</x:v>
      </x:c>
      <x:c r="G54" s="6">
        <x:v>2</x:v>
      </x:c>
      <x:c r="H54" s="6" t="s">
        <x:v>82</x:v>
      </x:c>
      <x:c r="I54" s="6" t="s">
        <x:v>340</x:v>
      </x:c>
      <x:c r="J54" s="6" t="s">
        <x:v>341</x:v>
      </x:c>
      <x:c r="K54" s="6" t="s">
        <x:v>342</x:v>
      </x:c>
      <x:c r="L54" s="6" t="s">
        <x:v>343</x:v>
      </x:c>
      <x:c r="M54" s="6" t="s">
        <x:v>344</x:v>
      </x:c>
    </x:row>
    <x:row r="55" ht="28.5" customHeight="1">
      <x:c r="A55" s="5"/>
      <x:c r="B55" s="5"/>
      <x:c r="C55" s="6" t="s">
        <x:v>14</x:v>
      </x:c>
      <x:c r="D55" s="6" t="s">
        <x:v>9</x:v>
      </x:c>
      <x:c r="E55" s="6" t="s">
        <x:v>334</x:v>
      </x:c>
      <x:c r="F55" s="6" t="s">
        <x:v>294</x:v>
      </x:c>
      <x:c r="G55" s="6">
        <x:v>3</x:v>
      </x:c>
      <x:c r="H55" s="6" t="s">
        <x:v>345</x:v>
      </x:c>
      <x:c r="I55" s="6" t="s">
        <x:v>346</x:v>
      </x:c>
      <x:c r="J55" s="6" t="s">
        <x:v>347</x:v>
      </x:c>
      <x:c r="K55" s="6" t="s">
        <x:v>348</x:v>
      </x:c>
      <x:c r="L55" s="6" t="s">
        <x:v>349</x:v>
      </x:c>
      <x:c r="M55" s="6" t="s">
        <x:v>350</x:v>
      </x:c>
    </x:row>
    <x:row r="56" ht="28.5" customHeight="1">
      <x:c r="A56" s="5"/>
      <x:c r="B56" s="5"/>
      <x:c r="C56" s="6" t="s">
        <x:v>14</x:v>
      </x:c>
      <x:c r="D56" s="6" t="s">
        <x:v>9</x:v>
      </x:c>
      <x:c r="E56" s="6" t="s">
        <x:v>334</x:v>
      </x:c>
      <x:c r="F56" s="6" t="s">
        <x:v>294</x:v>
      </x:c>
      <x:c r="G56" s="6">
        <x:v>4</x:v>
      </x:c>
      <x:c r="H56" s="6" t="s">
        <x:v>263</x:v>
      </x:c>
      <x:c r="I56" s="6" t="s">
        <x:v>351</x:v>
      </x:c>
      <x:c r="J56" s="6" t="s">
        <x:v>352</x:v>
      </x:c>
      <x:c r="K56" s="6" t="s">
        <x:v>353</x:v>
      </x:c>
      <x:c r="L56" s="6" t="s">
        <x:v>354</x:v>
      </x:c>
      <x:c r="M56" s="6" t="s">
        <x:v>355</x:v>
      </x:c>
    </x:row>
    <x:row r="57" ht="28.5" customHeight="1">
      <x:c r="A57" s="5"/>
      <x:c r="B57" s="5"/>
      <x:c r="C57" s="6" t="s">
        <x:v>14</x:v>
      </x:c>
      <x:c r="D57" s="6" t="s">
        <x:v>9</x:v>
      </x:c>
      <x:c r="E57" s="6" t="s">
        <x:v>334</x:v>
      </x:c>
      <x:c r="F57" s="6" t="s">
        <x:v>294</x:v>
      </x:c>
      <x:c r="G57" s="6">
        <x:v>5</x:v>
      </x:c>
      <x:c r="H57" s="6" t="s">
        <x:v>263</x:v>
      </x:c>
      <x:c r="I57" s="6" t="s">
        <x:v>264</x:v>
      </x:c>
      <x:c r="J57" s="6" t="s">
        <x:v>356</x:v>
      </x:c>
      <x:c r="K57" s="6" t="s">
        <x:v>357</x:v>
      </x:c>
      <x:c r="L57" s="6" t="s">
        <x:v>358</x:v>
      </x:c>
      <x:c r="M57" s="6" t="s">
        <x:v>359</x:v>
      </x:c>
    </x:row>
    <x:row r="58" ht="28.5" customHeight="1">
      <x:c r="A58" s="5"/>
      <x:c r="B58" s="5"/>
      <x:c r="C58" s="6" t="s">
        <x:v>14</x:v>
      </x:c>
      <x:c r="D58" s="6" t="s">
        <x:v>9</x:v>
      </x:c>
      <x:c r="E58" s="6" t="s">
        <x:v>334</x:v>
      </x:c>
      <x:c r="F58" s="6" t="s">
        <x:v>294</x:v>
      </x:c>
      <x:c r="G58" s="6">
        <x:v>6</x:v>
      </x:c>
      <x:c r="H58" s="6" t="s">
        <x:v>110</x:v>
      </x:c>
      <x:c r="I58" s="6" t="s">
        <x:v>360</x:v>
      </x:c>
      <x:c r="J58" s="6" t="s">
        <x:v>361</x:v>
      </x:c>
      <x:c r="K58" s="6" t="s">
        <x:v>362</x:v>
      </x:c>
      <x:c r="L58" s="6" t="s">
        <x:v>363</x:v>
      </x:c>
      <x:c r="M58" s="6" t="s">
        <x:v>364</x:v>
      </x:c>
    </x:row>
    <x:row r="59" ht="28.5" customHeight="1">
      <x:c r="A59" s="5"/>
      <x:c r="B59" s="5"/>
      <x:c r="C59" s="6" t="s">
        <x:v>14</x:v>
      </x:c>
      <x:c r="D59" s="6" t="s">
        <x:v>9</x:v>
      </x:c>
      <x:c r="E59" s="6" t="s">
        <x:v>334</x:v>
      </x:c>
      <x:c r="F59" s="6" t="s">
        <x:v>294</x:v>
      </x:c>
      <x:c r="G59" s="6">
        <x:v>7</x:v>
      </x:c>
      <x:c r="H59" s="6" t="s">
        <x:v>110</x:v>
      </x:c>
      <x:c r="I59" s="6" t="s">
        <x:v>365</x:v>
      </x:c>
      <x:c r="J59" s="6" t="s">
        <x:v>366</x:v>
      </x:c>
      <x:c r="K59" s="6" t="s">
        <x:v>367</x:v>
      </x:c>
      <x:c r="L59" s="6" t="s">
        <x:v>368</x:v>
      </x:c>
      <x:c r="M59" s="6" t="s">
        <x:v>369</x:v>
      </x:c>
    </x:row>
    <x:row r="60" ht="28.5" customHeight="1">
      <x:c r="A60" s="5"/>
      <x:c r="B60" s="5"/>
      <x:c r="C60" s="6" t="s">
        <x:v>14</x:v>
      </x:c>
      <x:c r="D60" s="6" t="s">
        <x:v>9</x:v>
      </x:c>
      <x:c r="E60" s="6" t="s">
        <x:v>334</x:v>
      </x:c>
      <x:c r="F60" s="6" t="s">
        <x:v>294</x:v>
      </x:c>
      <x:c r="G60" s="6">
        <x:v>8</x:v>
      </x:c>
      <x:c r="H60" s="6" t="s">
        <x:v>124</x:v>
      </x:c>
      <x:c r="I60" s="6" t="s">
        <x:v>370</x:v>
      </x:c>
      <x:c r="J60" s="6" t="s">
        <x:v>371</x:v>
      </x:c>
      <x:c r="K60" s="6" t="s">
        <x:v>372</x:v>
      </x:c>
      <x:c r="L60" s="6" t="s">
        <x:v>373</x:v>
      </x:c>
      <x:c r="M60" s="6" t="s">
        <x:v>374</x:v>
      </x:c>
    </x:row>
    <x:row r="61" ht="28.5" customHeight="1">
      <x:c r="A61" s="5"/>
      <x:c r="B61" s="5"/>
      <x:c r="C61" s="6" t="s">
        <x:v>14</x:v>
      </x:c>
      <x:c r="D61" s="6" t="s">
        <x:v>9</x:v>
      </x:c>
      <x:c r="E61" s="6" t="s">
        <x:v>375</x:v>
      </x:c>
      <x:c r="F61" s="6" t="s">
        <x:v>376</x:v>
      </x:c>
      <x:c r="G61" s="6">
        <x:v>1</x:v>
      </x:c>
      <x:c r="H61" s="6" t="s">
        <x:v>124</x:v>
      </x:c>
      <x:c r="I61" s="6" t="s">
        <x:v>377</x:v>
      </x:c>
      <x:c r="J61" s="6" t="s">
        <x:v>378</x:v>
      </x:c>
      <x:c r="K61" s="6" t="s">
        <x:v>379</x:v>
      </x:c>
      <x:c r="L61" s="6" t="s">
        <x:v>380</x:v>
      </x:c>
      <x:c r="M61" s="6" t="s">
        <x:v>381</x:v>
      </x:c>
    </x:row>
    <x:row r="62" ht="28.5" customHeight="1">
      <x:c r="A62" s="5"/>
      <x:c r="B62" s="5"/>
      <x:c r="C62" s="6" t="s">
        <x:v>14</x:v>
      </x:c>
      <x:c r="D62" s="6" t="s">
        <x:v>9</x:v>
      </x:c>
      <x:c r="E62" s="6" t="s">
        <x:v>375</x:v>
      </x:c>
      <x:c r="F62" s="6" t="s">
        <x:v>376</x:v>
      </x:c>
      <x:c r="G62" s="6">
        <x:v>2</x:v>
      </x:c>
      <x:c r="H62" s="6" t="s">
        <x:v>124</x:v>
      </x:c>
      <x:c r="I62" s="6" t="s">
        <x:v>382</x:v>
      </x:c>
      <x:c r="J62" s="6" t="s">
        <x:v>383</x:v>
      </x:c>
      <x:c r="K62" s="6" t="s">
        <x:v>384</x:v>
      </x:c>
      <x:c r="L62" s="6" t="s">
        <x:v>385</x:v>
      </x:c>
      <x:c r="M62" s="6" t="s">
        <x:v>386</x:v>
      </x:c>
    </x:row>
    <x:row r="63" ht="28.5" customHeight="1">
      <x:c r="A63" s="5"/>
      <x:c r="B63" s="5"/>
      <x:c r="C63" s="6" t="s">
        <x:v>14</x:v>
      </x:c>
      <x:c r="D63" s="6" t="s">
        <x:v>9</x:v>
      </x:c>
      <x:c r="E63" s="6" t="s">
        <x:v>375</x:v>
      </x:c>
      <x:c r="F63" s="6" t="s">
        <x:v>376</x:v>
      </x:c>
      <x:c r="G63" s="6">
        <x:v>3</x:v>
      </x:c>
      <x:c r="H63" s="6" t="s">
        <x:v>161</x:v>
      </x:c>
      <x:c r="I63" s="6" t="s">
        <x:v>387</x:v>
      </x:c>
      <x:c r="J63" s="6" t="s">
        <x:v>388</x:v>
      </x:c>
      <x:c r="K63" s="6" t="s">
        <x:v>389</x:v>
      </x:c>
      <x:c r="L63" s="6" t="s">
        <x:v>390</x:v>
      </x:c>
      <x:c r="M63" s="6" t="s">
        <x:v>391</x:v>
      </x:c>
    </x:row>
    <x:row r="64" ht="28.5" customHeight="1">
      <x:c r="A64" s="5"/>
      <x:c r="B64" s="5"/>
      <x:c r="C64" s="6" t="s">
        <x:v>14</x:v>
      </x:c>
      <x:c r="D64" s="6" t="s">
        <x:v>9</x:v>
      </x:c>
      <x:c r="E64" s="6" t="s">
        <x:v>375</x:v>
      </x:c>
      <x:c r="F64" s="6" t="s">
        <x:v>376</x:v>
      </x:c>
      <x:c r="G64" s="6">
        <x:v>4</x:v>
      </x:c>
      <x:c r="H64" s="6" t="s">
        <x:v>135</x:v>
      </x:c>
      <x:c r="I64" s="6" t="s">
        <x:v>392</x:v>
      </x:c>
      <x:c r="J64" s="6" t="s">
        <x:v>393</x:v>
      </x:c>
      <x:c r="K64" s="6" t="s">
        <x:v>394</x:v>
      </x:c>
      <x:c r="L64" s="6" t="s">
        <x:v>395</x:v>
      </x:c>
      <x:c r="M64" s="6" t="s">
        <x:v>396</x:v>
      </x:c>
    </x:row>
    <x:row r="65" ht="28.5" customHeight="1">
      <x:c r="A65" s="5"/>
      <x:c r="B65" s="5"/>
      <x:c r="C65" s="6" t="s">
        <x:v>14</x:v>
      </x:c>
      <x:c r="D65" s="6" t="s">
        <x:v>9</x:v>
      </x:c>
      <x:c r="E65" s="6" t="s">
        <x:v>375</x:v>
      </x:c>
      <x:c r="F65" s="6" t="s">
        <x:v>376</x:v>
      </x:c>
      <x:c r="G65" s="6">
        <x:v>5</x:v>
      </x:c>
      <x:c r="H65" s="6" t="s">
        <x:v>397</x:v>
      </x:c>
      <x:c r="I65" s="6" t="s">
        <x:v>398</x:v>
      </x:c>
      <x:c r="J65" s="6" t="s">
        <x:v>399</x:v>
      </x:c>
      <x:c r="K65" s="6" t="s">
        <x:v>400</x:v>
      </x:c>
      <x:c r="L65" s="6" t="s">
        <x:v>401</x:v>
      </x:c>
      <x:c r="M65" s="6" t="s">
        <x:v>402</x:v>
      </x:c>
    </x:row>
    <x:row r="66" ht="28.5" customHeight="1">
      <x:c r="A66" s="5"/>
      <x:c r="B66" s="5"/>
      <x:c r="C66" s="6" t="s">
        <x:v>14</x:v>
      </x:c>
      <x:c r="D66" s="6" t="s">
        <x:v>9</x:v>
      </x:c>
      <x:c r="E66" s="6" t="s">
        <x:v>375</x:v>
      </x:c>
      <x:c r="F66" s="6" t="s">
        <x:v>376</x:v>
      </x:c>
      <x:c r="G66" s="6">
        <x:v>6</x:v>
      </x:c>
      <x:c r="H66" s="6" t="s">
        <x:v>403</x:v>
      </x:c>
      <x:c r="I66" s="6" t="s">
        <x:v>404</x:v>
      </x:c>
      <x:c r="J66" s="6" t="s">
        <x:v>405</x:v>
      </x:c>
      <x:c r="K66" s="6" t="s">
        <x:v>406</x:v>
      </x:c>
      <x:c r="L66" s="6" t="s">
        <x:v>407</x:v>
      </x:c>
      <x:c r="M66" s="6" t="s">
        <x:v>408</x:v>
      </x:c>
    </x:row>
    <x:row r="67" ht="28.5" customHeight="1">
      <x:c r="A67" s="5"/>
      <x:c r="B67" s="5"/>
      <x:c r="C67" s="6" t="s">
        <x:v>14</x:v>
      </x:c>
      <x:c r="D67" s="6" t="s">
        <x:v>9</x:v>
      </x:c>
      <x:c r="E67" s="6" t="s">
        <x:v>375</x:v>
      </x:c>
      <x:c r="F67" s="6" t="s">
        <x:v>376</x:v>
      </x:c>
      <x:c r="G67" s="6">
        <x:v>7</x:v>
      </x:c>
      <x:c r="H67" s="6" t="s">
        <x:v>263</x:v>
      </x:c>
      <x:c r="I67" s="6" t="s">
        <x:v>409</x:v>
      </x:c>
      <x:c r="J67" s="6" t="s">
        <x:v>410</x:v>
      </x:c>
      <x:c r="K67" s="6" t="s">
        <x:v>411</x:v>
      </x:c>
      <x:c r="L67" s="6" t="s">
        <x:v>412</x:v>
      </x:c>
      <x:c r="M67" s="6" t="s">
        <x:v>413</x:v>
      </x:c>
    </x:row>
    <x:row r="68" ht="28.5" customHeight="1">
      <x:c r="A68" s="5"/>
      <x:c r="B68" s="5"/>
      <x:c r="C68" s="6" t="s">
        <x:v>14</x:v>
      </x:c>
      <x:c r="D68" s="6" t="s">
        <x:v>9</x:v>
      </x:c>
      <x:c r="E68" s="6" t="s">
        <x:v>375</x:v>
      </x:c>
      <x:c r="F68" s="6" t="s">
        <x:v>376</x:v>
      </x:c>
      <x:c r="G68" s="6">
        <x:v>8</x:v>
      </x:c>
      <x:c r="H68" s="6" t="s">
        <x:v>110</x:v>
      </x:c>
      <x:c r="I68" s="6" t="s">
        <x:v>214</x:v>
      </x:c>
      <x:c r="J68" s="6" t="s">
        <x:v>414</x:v>
      </x:c>
      <x:c r="K68" s="6" t="s">
        <x:v>415</x:v>
      </x:c>
      <x:c r="L68" s="6" t="s">
        <x:v>416</x:v>
      </x:c>
      <x:c r="M68" s="6" t="s">
        <x:v>417</x:v>
      </x:c>
    </x:row>
    <x:row r="69" ht="28.5" customHeight="1">
      <x:c r="A69" s="5"/>
      <x:c r="B69" s="5"/>
      <x:c r="C69" s="6" t="s">
        <x:v>14</x:v>
      </x:c>
      <x:c r="D69" s="6" t="s">
        <x:v>16</x:v>
      </x:c>
      <x:c r="E69" s="6" t="s">
        <x:v>418</x:v>
      </x:c>
      <x:c r="F69" s="6" t="s">
        <x:v>75</x:v>
      </x:c>
      <x:c r="G69" s="6">
        <x:v>1</x:v>
      </x:c>
      <x:c r="H69" s="6" t="s">
        <x:v>419</x:v>
      </x:c>
      <x:c r="I69" s="6" t="s">
        <x:v>420</x:v>
      </x:c>
      <x:c r="J69" s="6" t="s">
        <x:v>421</x:v>
      </x:c>
      <x:c r="K69" s="6" t="s">
        <x:v>422</x:v>
      </x:c>
      <x:c r="L69" s="6" t="s">
        <x:v>423</x:v>
      </x:c>
      <x:c r="M69" s="6" t="s">
        <x:v>424</x:v>
      </x:c>
    </x:row>
    <x:row r="70" ht="28.5" customHeight="1">
      <x:c r="A70" s="5"/>
      <x:c r="B70" s="5"/>
      <x:c r="C70" s="6" t="s">
        <x:v>14</x:v>
      </x:c>
      <x:c r="D70" s="6" t="s">
        <x:v>16</x:v>
      </x:c>
      <x:c r="E70" s="6" t="s">
        <x:v>418</x:v>
      </x:c>
      <x:c r="F70" s="6" t="s">
        <x:v>75</x:v>
      </x:c>
      <x:c r="G70" s="6">
        <x:v>2</x:v>
      </x:c>
      <x:c r="H70" s="6" t="s">
        <x:v>425</x:v>
      </x:c>
      <x:c r="I70" s="6" t="s">
        <x:v>340</x:v>
      </x:c>
      <x:c r="J70" s="6" t="s">
        <x:v>426</x:v>
      </x:c>
      <x:c r="K70" s="6" t="s">
        <x:v>427</x:v>
      </x:c>
      <x:c r="L70" s="6" t="s">
        <x:v>428</x:v>
      </x:c>
      <x:c r="M70" s="6" t="s">
        <x:v>429</x:v>
      </x:c>
    </x:row>
    <x:row r="71" ht="28.5" customHeight="1">
      <x:c r="A71" s="5"/>
      <x:c r="B71" s="5"/>
      <x:c r="C71" s="6" t="s">
        <x:v>14</x:v>
      </x:c>
      <x:c r="D71" s="6" t="s">
        <x:v>16</x:v>
      </x:c>
      <x:c r="E71" s="6" t="s">
        <x:v>418</x:v>
      </x:c>
      <x:c r="F71" s="6" t="s">
        <x:v>75</x:v>
      </x:c>
      <x:c r="G71" s="6">
        <x:v>3</x:v>
      </x:c>
      <x:c r="H71" s="6" t="s">
        <x:v>425</x:v>
      </x:c>
      <x:c r="I71" s="6" t="s">
        <x:v>430</x:v>
      </x:c>
      <x:c r="J71" s="6" t="s">
        <x:v>431</x:v>
      </x:c>
      <x:c r="K71" s="6" t="s">
        <x:v>432</x:v>
      </x:c>
      <x:c r="L71" s="6" t="s">
        <x:v>433</x:v>
      </x:c>
      <x:c r="M71" s="6" t="s">
        <x:v>434</x:v>
      </x:c>
    </x:row>
    <x:row r="72" ht="28.5" customHeight="1">
      <x:c r="A72" s="5"/>
      <x:c r="B72" s="5"/>
      <x:c r="C72" s="6" t="s">
        <x:v>14</x:v>
      </x:c>
      <x:c r="D72" s="6" t="s">
        <x:v>16</x:v>
      </x:c>
      <x:c r="E72" s="6" t="s">
        <x:v>418</x:v>
      </x:c>
      <x:c r="F72" s="6" t="s">
        <x:v>75</x:v>
      </x:c>
      <x:c r="G72" s="6">
        <x:v>4</x:v>
      </x:c>
      <x:c r="H72" s="6" t="s">
        <x:v>435</x:v>
      </x:c>
      <x:c r="I72" s="6" t="s">
        <x:v>436</x:v>
      </x:c>
      <x:c r="J72" s="6" t="s">
        <x:v>437</x:v>
      </x:c>
      <x:c r="K72" s="6" t="s">
        <x:v>438</x:v>
      </x:c>
      <x:c r="L72" s="6" t="s">
        <x:v>439</x:v>
      </x:c>
      <x:c r="M72" s="6" t="s">
        <x:v>440</x:v>
      </x:c>
    </x:row>
    <x:row r="73" ht="28.5" customHeight="1">
      <x:c r="A73" s="5"/>
      <x:c r="B73" s="5"/>
      <x:c r="C73" s="6" t="s">
        <x:v>14</x:v>
      </x:c>
      <x:c r="D73" s="6" t="s">
        <x:v>16</x:v>
      </x:c>
      <x:c r="E73" s="6" t="s">
        <x:v>418</x:v>
      </x:c>
      <x:c r="F73" s="6" t="s">
        <x:v>75</x:v>
      </x:c>
      <x:c r="G73" s="6">
        <x:v>5</x:v>
      </x:c>
      <x:c r="H73" s="6" t="s">
        <x:v>441</x:v>
      </x:c>
      <x:c r="I73" s="6" t="s">
        <x:v>442</x:v>
      </x:c>
      <x:c r="J73" s="6" t="s">
        <x:v>443</x:v>
      </x:c>
      <x:c r="K73" s="6" t="s">
        <x:v>444</x:v>
      </x:c>
      <x:c r="L73" s="6" t="s">
        <x:v>445</x:v>
      </x:c>
      <x:c r="M73" s="6" t="s">
        <x:v>446</x:v>
      </x:c>
    </x:row>
    <x:row r="74" ht="28.5" customHeight="1">
      <x:c r="A74" s="5"/>
      <x:c r="B74" s="5"/>
      <x:c r="C74" s="6" t="s">
        <x:v>14</x:v>
      </x:c>
      <x:c r="D74" s="6" t="s">
        <x:v>16</x:v>
      </x:c>
      <x:c r="E74" s="6" t="s">
        <x:v>418</x:v>
      </x:c>
      <x:c r="F74" s="6" t="s">
        <x:v>75</x:v>
      </x:c>
      <x:c r="G74" s="6">
        <x:v>6</x:v>
      </x:c>
      <x:c r="H74" s="6" t="s">
        <x:v>447</x:v>
      </x:c>
      <x:c r="I74" s="6" t="s">
        <x:v>304</x:v>
      </x:c>
      <x:c r="J74" s="6" t="s">
        <x:v>448</x:v>
      </x:c>
      <x:c r="K74" s="6" t="s">
        <x:v>449</x:v>
      </x:c>
      <x:c r="L74" s="6" t="s">
        <x:v>450</x:v>
      </x:c>
      <x:c r="M74" s="6" t="s">
        <x:v>451</x:v>
      </x:c>
    </x:row>
    <x:row r="75" ht="28.5" customHeight="1">
      <x:c r="A75" s="5"/>
      <x:c r="B75" s="5"/>
      <x:c r="C75" s="6" t="s">
        <x:v>14</x:v>
      </x:c>
      <x:c r="D75" s="6" t="s">
        <x:v>16</x:v>
      </x:c>
      <x:c r="E75" s="6" t="s">
        <x:v>418</x:v>
      </x:c>
      <x:c r="F75" s="6" t="s">
        <x:v>75</x:v>
      </x:c>
      <x:c r="G75" s="6">
        <x:v>7</x:v>
      </x:c>
      <x:c r="H75" s="6" t="s">
        <x:v>452</x:v>
      </x:c>
      <x:c r="I75" s="6" t="s">
        <x:v>453</x:v>
      </x:c>
      <x:c r="J75" s="6" t="s">
        <x:v>454</x:v>
      </x:c>
      <x:c r="K75" s="6" t="s">
        <x:v>455</x:v>
      </x:c>
      <x:c r="L75" s="6" t="s">
        <x:v>456</x:v>
      </x:c>
      <x:c r="M75" s="6" t="s">
        <x:v>457</x:v>
      </x:c>
    </x:row>
    <x:row r="76" ht="28.5" customHeight="1">
      <x:c r="A76" s="5"/>
      <x:c r="B76" s="5"/>
      <x:c r="C76" s="6" t="s">
        <x:v>14</x:v>
      </x:c>
      <x:c r="D76" s="6" t="s">
        <x:v>16</x:v>
      </x:c>
      <x:c r="E76" s="6" t="s">
        <x:v>418</x:v>
      </x:c>
      <x:c r="F76" s="6" t="s">
        <x:v>75</x:v>
      </x:c>
      <x:c r="G76" s="6">
        <x:v>8</x:v>
      </x:c>
      <x:c r="H76" s="6" t="s">
        <x:v>458</x:v>
      </x:c>
      <x:c r="I76" s="6" t="s">
        <x:v>459</x:v>
      </x:c>
      <x:c r="J76" s="6" t="s">
        <x:v>460</x:v>
      </x:c>
      <x:c r="K76" s="6" t="s">
        <x:v>461</x:v>
      </x:c>
      <x:c r="L76" s="6" t="s">
        <x:v>462</x:v>
      </x:c>
      <x:c r="M76" s="6" t="s">
        <x:v>463</x:v>
      </x:c>
    </x:row>
    <x:row r="77" ht="28.5" customHeight="1">
      <x:c r="A77" s="5"/>
      <x:c r="B77" s="5"/>
      <x:c r="C77" s="6" t="s">
        <x:v>14</x:v>
      </x:c>
      <x:c r="D77" s="6" t="s">
        <x:v>16</x:v>
      </x:c>
      <x:c r="E77" s="6" t="s">
        <x:v>464</x:v>
      </x:c>
      <x:c r="F77" s="6" t="s">
        <x:v>75</x:v>
      </x:c>
      <x:c r="G77" s="6">
        <x:v>1</x:v>
      </x:c>
      <x:c r="H77" s="6" t="s">
        <x:v>465</x:v>
      </x:c>
      <x:c r="I77" s="6" t="s">
        <x:v>466</x:v>
      </x:c>
      <x:c r="J77" s="6" t="s">
        <x:v>467</x:v>
      </x:c>
      <x:c r="K77" s="6" t="s">
        <x:v>468</x:v>
      </x:c>
      <x:c r="L77" s="6" t="s">
        <x:v>469</x:v>
      </x:c>
      <x:c r="M77" s="6" t="s">
        <x:v>470</x:v>
      </x:c>
    </x:row>
    <x:row r="78" ht="28.5" customHeight="1">
      <x:c r="A78" s="5"/>
      <x:c r="B78" s="5"/>
      <x:c r="C78" s="6" t="s">
        <x:v>14</x:v>
      </x:c>
      <x:c r="D78" s="6" t="s">
        <x:v>16</x:v>
      </x:c>
      <x:c r="E78" s="6" t="s">
        <x:v>464</x:v>
      </x:c>
      <x:c r="F78" s="6" t="s">
        <x:v>75</x:v>
      </x:c>
      <x:c r="G78" s="6">
        <x:v>2</x:v>
      </x:c>
      <x:c r="H78" s="6" t="s">
        <x:v>471</x:v>
      </x:c>
      <x:c r="I78" s="6" t="s">
        <x:v>472</x:v>
      </x:c>
      <x:c r="J78" s="6" t="s">
        <x:v>473</x:v>
      </x:c>
      <x:c r="K78" s="6" t="s">
        <x:v>474</x:v>
      </x:c>
      <x:c r="L78" s="6" t="s">
        <x:v>475</x:v>
      </x:c>
      <x:c r="M78" s="6" t="s">
        <x:v>476</x:v>
      </x:c>
    </x:row>
    <x:row r="79" ht="28.5" customHeight="1">
      <x:c r="A79" s="5"/>
      <x:c r="B79" s="5"/>
      <x:c r="C79" s="6" t="s">
        <x:v>14</x:v>
      </x:c>
      <x:c r="D79" s="6" t="s">
        <x:v>16</x:v>
      </x:c>
      <x:c r="E79" s="6" t="s">
        <x:v>464</x:v>
      </x:c>
      <x:c r="F79" s="6" t="s">
        <x:v>75</x:v>
      </x:c>
      <x:c r="G79" s="6">
        <x:v>3</x:v>
      </x:c>
      <x:c r="H79" s="6" t="s">
        <x:v>419</x:v>
      </x:c>
      <x:c r="I79" s="6" t="s">
        <x:v>477</x:v>
      </x:c>
      <x:c r="J79" s="6" t="s">
        <x:v>478</x:v>
      </x:c>
      <x:c r="K79" s="6" t="s">
        <x:v>479</x:v>
      </x:c>
      <x:c r="L79" s="6" t="s">
        <x:v>480</x:v>
      </x:c>
      <x:c r="M79" s="6" t="s">
        <x:v>481</x:v>
      </x:c>
    </x:row>
    <x:row r="80" ht="28.5" customHeight="1">
      <x:c r="A80" s="5"/>
      <x:c r="B80" s="5"/>
      <x:c r="C80" s="6" t="s">
        <x:v>14</x:v>
      </x:c>
      <x:c r="D80" s="6" t="s">
        <x:v>16</x:v>
      </x:c>
      <x:c r="E80" s="6" t="s">
        <x:v>464</x:v>
      </x:c>
      <x:c r="F80" s="6" t="s">
        <x:v>75</x:v>
      </x:c>
      <x:c r="G80" s="6">
        <x:v>4</x:v>
      </x:c>
      <x:c r="H80" s="6" t="s">
        <x:v>482</x:v>
      </x:c>
      <x:c r="I80" s="6" t="s">
        <x:v>483</x:v>
      </x:c>
      <x:c r="J80" s="6" t="s">
        <x:v>484</x:v>
      </x:c>
      <x:c r="K80" s="6" t="s">
        <x:v>485</x:v>
      </x:c>
      <x:c r="L80" s="6" t="s">
        <x:v>486</x:v>
      </x:c>
      <x:c r="M80" s="6" t="s">
        <x:v>487</x:v>
      </x:c>
    </x:row>
    <x:row r="81" ht="28.5" customHeight="1">
      <x:c r="A81" s="5"/>
      <x:c r="B81" s="5"/>
      <x:c r="C81" s="6" t="s">
        <x:v>14</x:v>
      </x:c>
      <x:c r="D81" s="6" t="s">
        <x:v>16</x:v>
      </x:c>
      <x:c r="E81" s="6" t="s">
        <x:v>464</x:v>
      </x:c>
      <x:c r="F81" s="6" t="s">
        <x:v>75</x:v>
      </x:c>
      <x:c r="G81" s="6">
        <x:v>5</x:v>
      </x:c>
      <x:c r="H81" s="6" t="s">
        <x:v>488</x:v>
      </x:c>
      <x:c r="I81" s="6" t="s">
        <x:v>489</x:v>
      </x:c>
      <x:c r="J81" s="6" t="s">
        <x:v>490</x:v>
      </x:c>
      <x:c r="K81" s="6" t="s">
        <x:v>491</x:v>
      </x:c>
      <x:c r="L81" s="6" t="s">
        <x:v>492</x:v>
      </x:c>
      <x:c r="M81" s="6" t="s">
        <x:v>493</x:v>
      </x:c>
    </x:row>
    <x:row r="82" ht="28.5" customHeight="1">
      <x:c r="A82" s="5"/>
      <x:c r="B82" s="5"/>
      <x:c r="C82" s="6" t="s">
        <x:v>14</x:v>
      </x:c>
      <x:c r="D82" s="6" t="s">
        <x:v>16</x:v>
      </x:c>
      <x:c r="E82" s="6" t="s">
        <x:v>464</x:v>
      </x:c>
      <x:c r="F82" s="6" t="s">
        <x:v>75</x:v>
      </x:c>
      <x:c r="G82" s="6">
        <x:v>6</x:v>
      </x:c>
      <x:c r="H82" s="6" t="s">
        <x:v>471</x:v>
      </x:c>
      <x:c r="I82" s="6" t="s">
        <x:v>494</x:v>
      </x:c>
      <x:c r="J82" s="6" t="s">
        <x:v>495</x:v>
      </x:c>
      <x:c r="K82" s="6" t="s">
        <x:v>496</x:v>
      </x:c>
      <x:c r="L82" s="6" t="s">
        <x:v>497</x:v>
      </x:c>
      <x:c r="M82" s="6" t="s">
        <x:v>498</x:v>
      </x:c>
    </x:row>
    <x:row r="83" ht="28.5" customHeight="1">
      <x:c r="A83" s="5"/>
      <x:c r="B83" s="5"/>
      <x:c r="C83" s="6" t="s">
        <x:v>14</x:v>
      </x:c>
      <x:c r="D83" s="6" t="s">
        <x:v>16</x:v>
      </x:c>
      <x:c r="E83" s="6" t="s">
        <x:v>464</x:v>
      </x:c>
      <x:c r="F83" s="6" t="s">
        <x:v>75</x:v>
      </x:c>
      <x:c r="G83" s="6">
        <x:v>7</x:v>
      </x:c>
      <x:c r="H83" s="6" t="s">
        <x:v>499</x:v>
      </x:c>
      <x:c r="I83" s="6" t="s">
        <x:v>500</x:v>
      </x:c>
      <x:c r="J83" s="6" t="s">
        <x:v>501</x:v>
      </x:c>
      <x:c r="K83" s="6" t="s">
        <x:v>502</x:v>
      </x:c>
      <x:c r="L83" s="6" t="s">
        <x:v>503</x:v>
      </x:c>
      <x:c r="M83" s="6" t="s">
        <x:v>504</x:v>
      </x:c>
    </x:row>
    <x:row r="84" ht="28.5" customHeight="1">
      <x:c r="A84" s="5"/>
      <x:c r="B84" s="5"/>
      <x:c r="C84" s="6" t="s">
        <x:v>14</x:v>
      </x:c>
      <x:c r="D84" s="6" t="s">
        <x:v>16</x:v>
      </x:c>
      <x:c r="E84" s="6" t="s">
        <x:v>464</x:v>
      </x:c>
      <x:c r="F84" s="6" t="s">
        <x:v>75</x:v>
      </x:c>
      <x:c r="G84" s="6">
        <x:v>8</x:v>
      </x:c>
      <x:c r="H84" s="6" t="s">
        <x:v>505</x:v>
      </x:c>
      <x:c r="I84" s="6" t="s">
        <x:v>506</x:v>
      </x:c>
      <x:c r="J84" s="6" t="s">
        <x:v>507</x:v>
      </x:c>
      <x:c r="K84" s="6" t="s">
        <x:v>508</x:v>
      </x:c>
      <x:c r="L84" s="6" t="s">
        <x:v>509</x:v>
      </x:c>
      <x:c r="M84" s="6" t="s">
        <x:v>510</x:v>
      </x:c>
    </x:row>
    <x:row r="85" ht="28.5" customHeight="1">
      <x:c r="A85" s="5"/>
      <x:c r="B85" s="5"/>
      <x:c r="C85" s="6" t="s">
        <x:v>14</x:v>
      </x:c>
      <x:c r="D85" s="6" t="s">
        <x:v>16</x:v>
      </x:c>
      <x:c r="E85" s="6" t="s">
        <x:v>511</x:v>
      </x:c>
      <x:c r="F85" s="6" t="s">
        <x:v>123</x:v>
      </x:c>
      <x:c r="G85" s="6">
        <x:v>1</x:v>
      </x:c>
      <x:c r="H85" s="6" t="s">
        <x:v>512</x:v>
      </x:c>
      <x:c r="I85" s="6" t="s">
        <x:v>513</x:v>
      </x:c>
      <x:c r="J85" s="6" t="s">
        <x:v>514</x:v>
      </x:c>
      <x:c r="K85" s="6" t="s">
        <x:v>515</x:v>
      </x:c>
      <x:c r="L85" s="6" t="s">
        <x:v>516</x:v>
      </x:c>
      <x:c r="M85" s="6" t="s">
        <x:v>517</x:v>
      </x:c>
    </x:row>
    <x:row r="86" ht="28.5" customHeight="1">
      <x:c r="A86" s="5"/>
      <x:c r="B86" s="5"/>
      <x:c r="C86" s="6" t="s">
        <x:v>14</x:v>
      </x:c>
      <x:c r="D86" s="6" t="s">
        <x:v>16</x:v>
      </x:c>
      <x:c r="E86" s="6" t="s">
        <x:v>511</x:v>
      </x:c>
      <x:c r="F86" s="6" t="s">
        <x:v>123</x:v>
      </x:c>
      <x:c r="G86" s="6">
        <x:v>2</x:v>
      </x:c>
      <x:c r="H86" s="6" t="s">
        <x:v>518</x:v>
      </x:c>
      <x:c r="I86" s="6" t="s">
        <x:v>519</x:v>
      </x:c>
      <x:c r="J86" s="6" t="s">
        <x:v>520</x:v>
      </x:c>
      <x:c r="K86" s="6" t="s">
        <x:v>521</x:v>
      </x:c>
      <x:c r="L86" s="6" t="s">
        <x:v>522</x:v>
      </x:c>
      <x:c r="M86" s="6" t="s">
        <x:v>523</x:v>
      </x:c>
    </x:row>
    <x:row r="87" ht="28.5" customHeight="1">
      <x:c r="A87" s="5"/>
      <x:c r="B87" s="5"/>
      <x:c r="C87" s="6" t="s">
        <x:v>14</x:v>
      </x:c>
      <x:c r="D87" s="6" t="s">
        <x:v>16</x:v>
      </x:c>
      <x:c r="E87" s="6" t="s">
        <x:v>511</x:v>
      </x:c>
      <x:c r="F87" s="6" t="s">
        <x:v>123</x:v>
      </x:c>
      <x:c r="G87" s="6">
        <x:v>3</x:v>
      </x:c>
      <x:c r="H87" s="6" t="s">
        <x:v>524</x:v>
      </x:c>
      <x:c r="I87" s="6" t="s">
        <x:v>525</x:v>
      </x:c>
      <x:c r="J87" s="6" t="s">
        <x:v>526</x:v>
      </x:c>
      <x:c r="K87" s="6" t="s">
        <x:v>527</x:v>
      </x:c>
      <x:c r="L87" s="6" t="s">
        <x:v>528</x:v>
      </x:c>
      <x:c r="M87" s="6" t="s">
        <x:v>529</x:v>
      </x:c>
    </x:row>
    <x:row r="88" ht="28.5" customHeight="1">
      <x:c r="A88" s="5"/>
      <x:c r="B88" s="5"/>
      <x:c r="C88" s="6" t="s">
        <x:v>14</x:v>
      </x:c>
      <x:c r="D88" s="6" t="s">
        <x:v>16</x:v>
      </x:c>
      <x:c r="E88" s="6" t="s">
        <x:v>511</x:v>
      </x:c>
      <x:c r="F88" s="6" t="s">
        <x:v>123</x:v>
      </x:c>
      <x:c r="G88" s="6">
        <x:v>4</x:v>
      </x:c>
      <x:c r="H88" s="6" t="s">
        <x:v>435</x:v>
      </x:c>
      <x:c r="I88" s="6" t="s">
        <x:v>436</x:v>
      </x:c>
      <x:c r="J88" s="6" t="s">
        <x:v>530</x:v>
      </x:c>
      <x:c r="K88" s="6" t="s">
        <x:v>438</x:v>
      </x:c>
      <x:c r="L88" s="6" t="s">
        <x:v>439</x:v>
      </x:c>
      <x:c r="M88" s="6" t="s">
        <x:v>531</x:v>
      </x:c>
    </x:row>
    <x:row r="89" ht="28.5" customHeight="1">
      <x:c r="A89" s="5"/>
      <x:c r="B89" s="5"/>
      <x:c r="C89" s="6" t="s">
        <x:v>14</x:v>
      </x:c>
      <x:c r="D89" s="6" t="s">
        <x:v>16</x:v>
      </x:c>
      <x:c r="E89" s="6" t="s">
        <x:v>511</x:v>
      </x:c>
      <x:c r="F89" s="6" t="s">
        <x:v>123</x:v>
      </x:c>
      <x:c r="G89" s="6">
        <x:v>5</x:v>
      </x:c>
      <x:c r="H89" s="6" t="s">
        <x:v>518</x:v>
      </x:c>
      <x:c r="I89" s="6" t="s">
        <x:v>532</x:v>
      </x:c>
      <x:c r="J89" s="6" t="s">
        <x:v>533</x:v>
      </x:c>
      <x:c r="K89" s="6" t="s">
        <x:v>534</x:v>
      </x:c>
      <x:c r="L89" s="6" t="s">
        <x:v>535</x:v>
      </x:c>
      <x:c r="M89" s="6" t="s">
        <x:v>536</x:v>
      </x:c>
    </x:row>
    <x:row r="90" ht="28.5" customHeight="1">
      <x:c r="A90" s="5"/>
      <x:c r="B90" s="5"/>
      <x:c r="C90" s="6" t="s">
        <x:v>14</x:v>
      </x:c>
      <x:c r="D90" s="6" t="s">
        <x:v>16</x:v>
      </x:c>
      <x:c r="E90" s="6" t="s">
        <x:v>511</x:v>
      </x:c>
      <x:c r="F90" s="6" t="s">
        <x:v>123</x:v>
      </x:c>
      <x:c r="G90" s="6">
        <x:v>6</x:v>
      </x:c>
      <x:c r="H90" s="6" t="s">
        <x:v>465</x:v>
      </x:c>
      <x:c r="I90" s="6" t="s">
        <x:v>537</x:v>
      </x:c>
      <x:c r="J90" s="6" t="s">
        <x:v>538</x:v>
      </x:c>
      <x:c r="K90" s="6" t="s">
        <x:v>539</x:v>
      </x:c>
      <x:c r="L90" s="6" t="s">
        <x:v>540</x:v>
      </x:c>
      <x:c r="M90" s="6" t="s">
        <x:v>541</x:v>
      </x:c>
    </x:row>
    <x:row r="91" ht="28.5" customHeight="1">
      <x:c r="A91" s="5"/>
      <x:c r="B91" s="5"/>
      <x:c r="C91" s="6" t="s">
        <x:v>14</x:v>
      </x:c>
      <x:c r="D91" s="6" t="s">
        <x:v>16</x:v>
      </x:c>
      <x:c r="E91" s="6" t="s">
        <x:v>511</x:v>
      </x:c>
      <x:c r="F91" s="6" t="s">
        <x:v>123</x:v>
      </x:c>
      <x:c r="G91" s="6">
        <x:v>7</x:v>
      </x:c>
      <x:c r="H91" s="6" t="s">
        <x:v>505</x:v>
      </x:c>
      <x:c r="I91" s="6" t="s">
        <x:v>542</x:v>
      </x:c>
      <x:c r="J91" s="6" t="s">
        <x:v>543</x:v>
      </x:c>
      <x:c r="K91" s="6" t="s">
        <x:v>544</x:v>
      </x:c>
      <x:c r="L91" s="6" t="s">
        <x:v>545</x:v>
      </x:c>
      <x:c r="M91" s="6" t="s">
        <x:v>546</x:v>
      </x:c>
    </x:row>
    <x:row r="92" ht="28.5" customHeight="1">
      <x:c r="A92" s="5"/>
      <x:c r="B92" s="5"/>
      <x:c r="C92" s="6" t="s">
        <x:v>14</x:v>
      </x:c>
      <x:c r="D92" s="6" t="s">
        <x:v>16</x:v>
      </x:c>
      <x:c r="E92" s="6" t="s">
        <x:v>511</x:v>
      </x:c>
      <x:c r="F92" s="6" t="s">
        <x:v>123</x:v>
      </x:c>
      <x:c r="G92" s="6">
        <x:v>8</x:v>
      </x:c>
      <x:c r="H92" s="6" t="s">
        <x:v>547</x:v>
      </x:c>
      <x:c r="I92" s="6" t="s">
        <x:v>548</x:v>
      </x:c>
      <x:c r="J92" s="6" t="s">
        <x:v>549</x:v>
      </x:c>
      <x:c r="K92" s="6" t="s">
        <x:v>550</x:v>
      </x:c>
      <x:c r="L92" s="6" t="s">
        <x:v>551</x:v>
      </x:c>
      <x:c r="M92" s="6" t="s">
        <x:v>552</x:v>
      </x:c>
    </x:row>
    <x:row r="93" ht="28.5" customHeight="1">
      <x:c r="A93" s="5"/>
      <x:c r="B93" s="5"/>
      <x:c r="C93" s="6" t="s">
        <x:v>14</x:v>
      </x:c>
      <x:c r="D93" s="6" t="s">
        <x:v>16</x:v>
      </x:c>
      <x:c r="E93" s="6" t="s">
        <x:v>553</x:v>
      </x:c>
      <x:c r="F93" s="6" t="s">
        <x:v>554</x:v>
      </x:c>
      <x:c r="G93" s="6">
        <x:v>1</x:v>
      </x:c>
      <x:c r="H93" s="6" t="s">
        <x:v>555</x:v>
      </x:c>
      <x:c r="I93" s="6" t="s">
        <x:v>278</x:v>
      </x:c>
      <x:c r="J93" s="6" t="s">
        <x:v>556</x:v>
      </x:c>
      <x:c r="K93" s="6" t="s">
        <x:v>557</x:v>
      </x:c>
      <x:c r="L93" s="6" t="s">
        <x:v>558</x:v>
      </x:c>
      <x:c r="M93" s="6" t="s">
        <x:v>559</x:v>
      </x:c>
    </x:row>
    <x:row r="94" ht="28.5" customHeight="1">
      <x:c r="A94" s="5"/>
      <x:c r="B94" s="5"/>
      <x:c r="C94" s="6" t="s">
        <x:v>14</x:v>
      </x:c>
      <x:c r="D94" s="6" t="s">
        <x:v>16</x:v>
      </x:c>
      <x:c r="E94" s="6" t="s">
        <x:v>553</x:v>
      </x:c>
      <x:c r="F94" s="6" t="s">
        <x:v>554</x:v>
      </x:c>
      <x:c r="G94" s="6">
        <x:v>2</x:v>
      </x:c>
      <x:c r="H94" s="6" t="s">
        <x:v>560</x:v>
      </x:c>
      <x:c r="I94" s="6" t="s">
        <x:v>561</x:v>
      </x:c>
      <x:c r="J94" s="6" t="s">
        <x:v>562</x:v>
      </x:c>
      <x:c r="K94" s="6" t="s">
        <x:v>563</x:v>
      </x:c>
      <x:c r="L94" s="6" t="s">
        <x:v>564</x:v>
      </x:c>
      <x:c r="M94" s="6" t="s">
        <x:v>565</x:v>
      </x:c>
    </x:row>
    <x:row r="95" ht="28.5" customHeight="1">
      <x:c r="A95" s="5"/>
      <x:c r="B95" s="5"/>
      <x:c r="C95" s="6" t="s">
        <x:v>14</x:v>
      </x:c>
      <x:c r="D95" s="6" t="s">
        <x:v>16</x:v>
      </x:c>
      <x:c r="E95" s="6" t="s">
        <x:v>553</x:v>
      </x:c>
      <x:c r="F95" s="6" t="s">
        <x:v>554</x:v>
      </x:c>
      <x:c r="G95" s="6">
        <x:v>3</x:v>
      </x:c>
      <x:c r="H95" s="6" t="s">
        <x:v>518</x:v>
      </x:c>
      <x:c r="I95" s="6" t="s">
        <x:v>566</x:v>
      </x:c>
      <x:c r="J95" s="6" t="s">
        <x:v>567</x:v>
      </x:c>
      <x:c r="K95" s="6" t="s">
        <x:v>568</x:v>
      </x:c>
      <x:c r="L95" s="6" t="s">
        <x:v>569</x:v>
      </x:c>
      <x:c r="M95" s="6" t="s">
        <x:v>570</x:v>
      </x:c>
    </x:row>
    <x:row r="96" ht="28.5" customHeight="1">
      <x:c r="A96" s="5"/>
      <x:c r="B96" s="5"/>
      <x:c r="C96" s="6" t="s">
        <x:v>14</x:v>
      </x:c>
      <x:c r="D96" s="6" t="s">
        <x:v>16</x:v>
      </x:c>
      <x:c r="E96" s="6" t="s">
        <x:v>553</x:v>
      </x:c>
      <x:c r="F96" s="6" t="s">
        <x:v>554</x:v>
      </x:c>
      <x:c r="G96" s="6">
        <x:v>4</x:v>
      </x:c>
      <x:c r="H96" s="6" t="s">
        <x:v>471</x:v>
      </x:c>
      <x:c r="I96" s="6" t="s">
        <x:v>571</x:v>
      </x:c>
      <x:c r="J96" s="6" t="s">
        <x:v>572</x:v>
      </x:c>
      <x:c r="K96" s="6" t="s">
        <x:v>573</x:v>
      </x:c>
      <x:c r="L96" s="6" t="s">
        <x:v>574</x:v>
      </x:c>
      <x:c r="M96" s="6" t="s">
        <x:v>575</x:v>
      </x:c>
    </x:row>
    <x:row r="97" ht="28.5" customHeight="1">
      <x:c r="A97" s="5"/>
      <x:c r="B97" s="5"/>
      <x:c r="C97" s="6" t="s">
        <x:v>14</x:v>
      </x:c>
      <x:c r="D97" s="6" t="s">
        <x:v>16</x:v>
      </x:c>
      <x:c r="E97" s="6" t="s">
        <x:v>553</x:v>
      </x:c>
      <x:c r="F97" s="6" t="s">
        <x:v>554</x:v>
      </x:c>
      <x:c r="G97" s="6">
        <x:v>5</x:v>
      </x:c>
      <x:c r="H97" s="6" t="s">
        <x:v>505</x:v>
      </x:c>
      <x:c r="I97" s="6" t="s">
        <x:v>329</x:v>
      </x:c>
      <x:c r="J97" s="6" t="s">
        <x:v>576</x:v>
      </x:c>
      <x:c r="K97" s="6" t="s">
        <x:v>577</x:v>
      </x:c>
      <x:c r="L97" s="6" t="s">
        <x:v>578</x:v>
      </x:c>
      <x:c r="M97" s="6" t="s">
        <x:v>579</x:v>
      </x:c>
    </x:row>
    <x:row r="98" ht="28.5" customHeight="1">
      <x:c r="A98" s="5"/>
      <x:c r="B98" s="5"/>
      <x:c r="C98" s="6" t="s">
        <x:v>14</x:v>
      </x:c>
      <x:c r="D98" s="6" t="s">
        <x:v>16</x:v>
      </x:c>
      <x:c r="E98" s="6" t="s">
        <x:v>553</x:v>
      </x:c>
      <x:c r="F98" s="6" t="s">
        <x:v>554</x:v>
      </x:c>
      <x:c r="G98" s="6">
        <x:v>6</x:v>
      </x:c>
      <x:c r="H98" s="6" t="s">
        <x:v>580</x:v>
      </x:c>
      <x:c r="I98" s="6" t="s">
        <x:v>581</x:v>
      </x:c>
      <x:c r="J98" s="6" t="s">
        <x:v>582</x:v>
      </x:c>
      <x:c r="K98" s="6" t="s">
        <x:v>583</x:v>
      </x:c>
      <x:c r="L98" s="6" t="s">
        <x:v>584</x:v>
      </x:c>
      <x:c r="M98" s="6" t="s">
        <x:v>585</x:v>
      </x:c>
    </x:row>
    <x:row r="99" ht="28.5" customHeight="1">
      <x:c r="A99" s="5"/>
      <x:c r="B99" s="5"/>
      <x:c r="C99" s="6" t="s">
        <x:v>14</x:v>
      </x:c>
      <x:c r="D99" s="6" t="s">
        <x:v>16</x:v>
      </x:c>
      <x:c r="E99" s="6" t="s">
        <x:v>553</x:v>
      </x:c>
      <x:c r="F99" s="6" t="s">
        <x:v>554</x:v>
      </x:c>
      <x:c r="G99" s="6">
        <x:v>7</x:v>
      </x:c>
      <x:c r="H99" s="6" t="s">
        <x:v>586</x:v>
      </x:c>
      <x:c r="I99" s="6" t="s">
        <x:v>587</x:v>
      </x:c>
      <x:c r="J99" s="6" t="s">
        <x:v>588</x:v>
      </x:c>
      <x:c r="K99" s="6" t="s">
        <x:v>589</x:v>
      </x:c>
      <x:c r="L99" s="6" t="s">
        <x:v>590</x:v>
      </x:c>
      <x:c r="M99" s="6" t="s">
        <x:v>591</x:v>
      </x:c>
    </x:row>
    <x:row r="100" ht="28.5" customHeight="1">
      <x:c r="A100" s="5"/>
      <x:c r="B100" s="5"/>
      <x:c r="C100" s="6" t="s">
        <x:v>14</x:v>
      </x:c>
      <x:c r="D100" s="6" t="s">
        <x:v>16</x:v>
      </x:c>
      <x:c r="E100" s="6" t="s">
        <x:v>553</x:v>
      </x:c>
      <x:c r="F100" s="6" t="s">
        <x:v>554</x:v>
      </x:c>
      <x:c r="G100" s="6">
        <x:v>8</x:v>
      </x:c>
      <x:c r="H100" s="6" t="s">
        <x:v>419</x:v>
      </x:c>
      <x:c r="I100" s="6" t="s">
        <x:v>592</x:v>
      </x:c>
      <x:c r="J100" s="6" t="s">
        <x:v>593</x:v>
      </x:c>
      <x:c r="K100" s="6" t="s">
        <x:v>594</x:v>
      </x:c>
      <x:c r="L100" s="6" t="s">
        <x:v>595</x:v>
      </x:c>
      <x:c r="M100" s="6" t="s">
        <x:v>596</x:v>
      </x:c>
    </x:row>
    <x:row r="101" ht="28.5" customHeight="1">
      <x:c r="A101" s="5"/>
      <x:c r="B101" s="5"/>
      <x:c r="C101" s="6" t="s">
        <x:v>14</x:v>
      </x:c>
      <x:c r="D101" s="6" t="s">
        <x:v>16</x:v>
      </x:c>
      <x:c r="E101" s="6" t="s">
        <x:v>597</x:v>
      </x:c>
      <x:c r="F101" s="6" t="s">
        <x:v>554</x:v>
      </x:c>
      <x:c r="G101" s="6">
        <x:v>1</x:v>
      </x:c>
      <x:c r="H101" s="6" t="s">
        <x:v>505</x:v>
      </x:c>
      <x:c r="I101" s="6" t="s">
        <x:v>598</x:v>
      </x:c>
      <x:c r="J101" s="6" t="s">
        <x:v>599</x:v>
      </x:c>
      <x:c r="K101" s="6" t="s">
        <x:v>600</x:v>
      </x:c>
      <x:c r="L101" s="6" t="s">
        <x:v>601</x:v>
      </x:c>
      <x:c r="M101" s="6" t="s">
        <x:v>602</x:v>
      </x:c>
    </x:row>
    <x:row r="102" ht="28.5" customHeight="1">
      <x:c r="A102" s="5"/>
      <x:c r="B102" s="5"/>
      <x:c r="C102" s="6" t="s">
        <x:v>14</x:v>
      </x:c>
      <x:c r="D102" s="6" t="s">
        <x:v>16</x:v>
      </x:c>
      <x:c r="E102" s="6" t="s">
        <x:v>597</x:v>
      </x:c>
      <x:c r="F102" s="6" t="s">
        <x:v>554</x:v>
      </x:c>
      <x:c r="G102" s="6">
        <x:v>2</x:v>
      </x:c>
      <x:c r="H102" s="6" t="s">
        <x:v>524</x:v>
      </x:c>
      <x:c r="I102" s="6" t="s">
        <x:v>525</x:v>
      </x:c>
      <x:c r="J102" s="6" t="s">
        <x:v>603</x:v>
      </x:c>
      <x:c r="K102" s="6" t="s">
        <x:v>604</x:v>
      </x:c>
      <x:c r="L102" s="6" t="s">
        <x:v>605</x:v>
      </x:c>
      <x:c r="M102" s="6" t="s">
        <x:v>606</x:v>
      </x:c>
    </x:row>
    <x:row r="103" ht="28.5" customHeight="1">
      <x:c r="A103" s="5"/>
      <x:c r="B103" s="5"/>
      <x:c r="C103" s="6" t="s">
        <x:v>14</x:v>
      </x:c>
      <x:c r="D103" s="6" t="s">
        <x:v>16</x:v>
      </x:c>
      <x:c r="E103" s="6" t="s">
        <x:v>597</x:v>
      </x:c>
      <x:c r="F103" s="6" t="s">
        <x:v>554</x:v>
      </x:c>
      <x:c r="G103" s="6">
        <x:v>3</x:v>
      </x:c>
      <x:c r="H103" s="6" t="s">
        <x:v>425</x:v>
      </x:c>
      <x:c r="I103" s="6" t="s">
        <x:v>607</x:v>
      </x:c>
      <x:c r="J103" s="6" t="s">
        <x:v>608</x:v>
      </x:c>
      <x:c r="K103" s="6" t="s">
        <x:v>609</x:v>
      </x:c>
      <x:c r="L103" s="6" t="s">
        <x:v>610</x:v>
      </x:c>
      <x:c r="M103" s="6" t="s">
        <x:v>611</x:v>
      </x:c>
    </x:row>
    <x:row r="104" ht="28.5" customHeight="1">
      <x:c r="A104" s="5"/>
      <x:c r="B104" s="5"/>
      <x:c r="C104" s="6" t="s">
        <x:v>14</x:v>
      </x:c>
      <x:c r="D104" s="6" t="s">
        <x:v>16</x:v>
      </x:c>
      <x:c r="E104" s="6" t="s">
        <x:v>597</x:v>
      </x:c>
      <x:c r="F104" s="6" t="s">
        <x:v>554</x:v>
      </x:c>
      <x:c r="G104" s="6">
        <x:v>4</x:v>
      </x:c>
      <x:c r="H104" s="6" t="s">
        <x:v>612</x:v>
      </x:c>
      <x:c r="I104" s="6" t="s">
        <x:v>613</x:v>
      </x:c>
      <x:c r="J104" s="6" t="s">
        <x:v>614</x:v>
      </x:c>
      <x:c r="K104" s="6" t="s">
        <x:v>615</x:v>
      </x:c>
      <x:c r="L104" s="6" t="s">
        <x:v>616</x:v>
      </x:c>
      <x:c r="M104" s="6" t="s">
        <x:v>617</x:v>
      </x:c>
    </x:row>
    <x:row r="105" ht="28.5" customHeight="1">
      <x:c r="A105" s="5"/>
      <x:c r="B105" s="5"/>
      <x:c r="C105" s="6" t="s">
        <x:v>14</x:v>
      </x:c>
      <x:c r="D105" s="6" t="s">
        <x:v>16</x:v>
      </x:c>
      <x:c r="E105" s="6" t="s">
        <x:v>597</x:v>
      </x:c>
      <x:c r="F105" s="6" t="s">
        <x:v>554</x:v>
      </x:c>
      <x:c r="G105" s="6">
        <x:v>5</x:v>
      </x:c>
      <x:c r="H105" s="6" t="s">
        <x:v>555</x:v>
      </x:c>
      <x:c r="I105" s="6" t="s">
        <x:v>618</x:v>
      </x:c>
      <x:c r="J105" s="6" t="s">
        <x:v>619</x:v>
      </x:c>
      <x:c r="K105" s="6" t="s">
        <x:v>620</x:v>
      </x:c>
      <x:c r="L105" s="6" t="s">
        <x:v>621</x:v>
      </x:c>
      <x:c r="M105" s="6" t="s">
        <x:v>622</x:v>
      </x:c>
    </x:row>
    <x:row r="106" ht="28.5" customHeight="1">
      <x:c r="A106" s="5"/>
      <x:c r="B106" s="5"/>
      <x:c r="C106" s="6" t="s">
        <x:v>14</x:v>
      </x:c>
      <x:c r="D106" s="6" t="s">
        <x:v>16</x:v>
      </x:c>
      <x:c r="E106" s="6" t="s">
        <x:v>597</x:v>
      </x:c>
      <x:c r="F106" s="6" t="s">
        <x:v>554</x:v>
      </x:c>
      <x:c r="G106" s="6">
        <x:v>6</x:v>
      </x:c>
      <x:c r="H106" s="6" t="s">
        <x:v>555</x:v>
      </x:c>
      <x:c r="I106" s="6" t="s">
        <x:v>623</x:v>
      </x:c>
      <x:c r="J106" s="6" t="s">
        <x:v>624</x:v>
      </x:c>
      <x:c r="K106" s="6" t="s">
        <x:v>625</x:v>
      </x:c>
      <x:c r="L106" s="6" t="s">
        <x:v>626</x:v>
      </x:c>
      <x:c r="M106" s="6" t="s">
        <x:v>627</x:v>
      </x:c>
    </x:row>
    <x:row r="107" ht="28.5" customHeight="1">
      <x:c r="A107" s="5"/>
      <x:c r="B107" s="5"/>
      <x:c r="C107" s="6" t="s">
        <x:v>14</x:v>
      </x:c>
      <x:c r="D107" s="6" t="s">
        <x:v>16</x:v>
      </x:c>
      <x:c r="E107" s="6" t="s">
        <x:v>597</x:v>
      </x:c>
      <x:c r="F107" s="6" t="s">
        <x:v>554</x:v>
      </x:c>
      <x:c r="G107" s="6">
        <x:v>7</x:v>
      </x:c>
      <x:c r="H107" s="6" t="s">
        <x:v>458</x:v>
      </x:c>
      <x:c r="I107" s="6" t="s">
        <x:v>628</x:v>
      </x:c>
      <x:c r="J107" s="6" t="s">
        <x:v>629</x:v>
      </x:c>
      <x:c r="K107" s="6" t="s">
        <x:v>630</x:v>
      </x:c>
      <x:c r="L107" s="6" t="s">
        <x:v>631</x:v>
      </x:c>
      <x:c r="M107" s="6" t="s">
        <x:v>632</x:v>
      </x:c>
    </x:row>
    <x:row r="108" ht="28.5" customHeight="1">
      <x:c r="A108" s="5"/>
      <x:c r="B108" s="5"/>
      <x:c r="C108" s="6" t="s">
        <x:v>14</x:v>
      </x:c>
      <x:c r="D108" s="6" t="s">
        <x:v>16</x:v>
      </x:c>
      <x:c r="E108" s="6" t="s">
        <x:v>597</x:v>
      </x:c>
      <x:c r="F108" s="6" t="s">
        <x:v>554</x:v>
      </x:c>
      <x:c r="G108" s="6">
        <x:v>8</x:v>
      </x:c>
      <x:c r="H108" s="6" t="s">
        <x:v>458</x:v>
      </x:c>
      <x:c r="I108" s="6" t="s">
        <x:v>633</x:v>
      </x:c>
      <x:c r="J108" s="6" t="s">
        <x:v>634</x:v>
      </x:c>
      <x:c r="K108" s="6" t="s">
        <x:v>635</x:v>
      </x:c>
      <x:c r="L108" s="6" t="s">
        <x:v>636</x:v>
      </x:c>
      <x:c r="M108" s="6" t="s">
        <x:v>637</x:v>
      </x:c>
    </x:row>
    <x:row r="109" ht="28.5" customHeight="1">
      <x:c r="A109" s="5"/>
      <x:c r="B109" s="5"/>
      <x:c r="C109" s="6" t="s">
        <x:v>14</x:v>
      </x:c>
      <x:c r="D109" s="6" t="s">
        <x:v>16</x:v>
      </x:c>
      <x:c r="E109" s="6" t="s">
        <x:v>638</x:v>
      </x:c>
      <x:c r="F109" s="6" t="s">
        <x:v>168</x:v>
      </x:c>
      <x:c r="G109" s="6">
        <x:v>1</x:v>
      </x:c>
      <x:c r="H109" s="6" t="s">
        <x:v>518</x:v>
      </x:c>
      <x:c r="I109" s="6" t="s">
        <x:v>639</x:v>
      </x:c>
      <x:c r="J109" s="6" t="s">
        <x:v>640</x:v>
      </x:c>
      <x:c r="K109" s="6" t="s">
        <x:v>641</x:v>
      </x:c>
      <x:c r="L109" s="6" t="s">
        <x:v>642</x:v>
      </x:c>
      <x:c r="M109" s="6" t="s">
        <x:v>643</x:v>
      </x:c>
    </x:row>
    <x:row r="110" ht="28.5" customHeight="1">
      <x:c r="A110" s="5"/>
      <x:c r="B110" s="5"/>
      <x:c r="C110" s="6" t="s">
        <x:v>14</x:v>
      </x:c>
      <x:c r="D110" s="6" t="s">
        <x:v>16</x:v>
      </x:c>
      <x:c r="E110" s="6" t="s">
        <x:v>638</x:v>
      </x:c>
      <x:c r="F110" s="6" t="s">
        <x:v>168</x:v>
      </x:c>
      <x:c r="G110" s="6">
        <x:v>2</x:v>
      </x:c>
      <x:c r="H110" s="6" t="s">
        <x:v>458</x:v>
      </x:c>
      <x:c r="I110" s="6" t="s">
        <x:v>351</x:v>
      </x:c>
      <x:c r="J110" s="6" t="s">
        <x:v>644</x:v>
      </x:c>
      <x:c r="K110" s="6" t="s">
        <x:v>645</x:v>
      </x:c>
      <x:c r="L110" s="6" t="s">
        <x:v>646</x:v>
      </x:c>
      <x:c r="M110" s="6" t="s">
        <x:v>647</x:v>
      </x:c>
    </x:row>
    <x:row r="111" ht="28.5" customHeight="1">
      <x:c r="A111" s="5"/>
      <x:c r="B111" s="5"/>
      <x:c r="C111" s="6" t="s">
        <x:v>14</x:v>
      </x:c>
      <x:c r="D111" s="6" t="s">
        <x:v>16</x:v>
      </x:c>
      <x:c r="E111" s="6" t="s">
        <x:v>638</x:v>
      </x:c>
      <x:c r="F111" s="6" t="s">
        <x:v>168</x:v>
      </x:c>
      <x:c r="G111" s="6">
        <x:v>3</x:v>
      </x:c>
      <x:c r="H111" s="6" t="s">
        <x:v>580</x:v>
      </x:c>
      <x:c r="I111" s="6" t="s">
        <x:v>648</x:v>
      </x:c>
      <x:c r="J111" s="6" t="s">
        <x:v>649</x:v>
      </x:c>
      <x:c r="K111" s="6" t="s">
        <x:v>650</x:v>
      </x:c>
      <x:c r="L111" s="6" t="s">
        <x:v>651</x:v>
      </x:c>
      <x:c r="M111" s="6" t="s">
        <x:v>652</x:v>
      </x:c>
    </x:row>
    <x:row r="112" ht="28.5" customHeight="1">
      <x:c r="A112" s="5"/>
      <x:c r="B112" s="5"/>
      <x:c r="C112" s="6" t="s">
        <x:v>14</x:v>
      </x:c>
      <x:c r="D112" s="6" t="s">
        <x:v>16</x:v>
      </x:c>
      <x:c r="E112" s="6" t="s">
        <x:v>638</x:v>
      </x:c>
      <x:c r="F112" s="6" t="s">
        <x:v>168</x:v>
      </x:c>
      <x:c r="G112" s="6">
        <x:v>4</x:v>
      </x:c>
      <x:c r="H112" s="6" t="s">
        <x:v>452</x:v>
      </x:c>
      <x:c r="I112" s="6" t="s">
        <x:v>653</x:v>
      </x:c>
      <x:c r="J112" s="6" t="s">
        <x:v>654</x:v>
      </x:c>
      <x:c r="K112" s="6" t="s">
        <x:v>655</x:v>
      </x:c>
      <x:c r="L112" s="6" t="s">
        <x:v>656</x:v>
      </x:c>
      <x:c r="M112" s="6" t="s">
        <x:v>657</x:v>
      </x:c>
    </x:row>
    <x:row r="113" ht="28.5" customHeight="1">
      <x:c r="A113" s="5"/>
      <x:c r="B113" s="5"/>
      <x:c r="C113" s="6" t="s">
        <x:v>14</x:v>
      </x:c>
      <x:c r="D113" s="6" t="s">
        <x:v>16</x:v>
      </x:c>
      <x:c r="E113" s="6" t="s">
        <x:v>638</x:v>
      </x:c>
      <x:c r="F113" s="6" t="s">
        <x:v>168</x:v>
      </x:c>
      <x:c r="G113" s="6">
        <x:v>5</x:v>
      </x:c>
      <x:c r="H113" s="6" t="s">
        <x:v>658</x:v>
      </x:c>
      <x:c r="I113" s="6" t="s">
        <x:v>659</x:v>
      </x:c>
      <x:c r="J113" s="6" t="s">
        <x:v>660</x:v>
      </x:c>
      <x:c r="K113" s="6" t="s">
        <x:v>661</x:v>
      </x:c>
      <x:c r="L113" s="6" t="s">
        <x:v>662</x:v>
      </x:c>
      <x:c r="M113" s="6" t="s">
        <x:v>663</x:v>
      </x:c>
    </x:row>
    <x:row r="114" ht="28.5" customHeight="1">
      <x:c r="A114" s="5"/>
      <x:c r="B114" s="5"/>
      <x:c r="C114" s="6" t="s">
        <x:v>14</x:v>
      </x:c>
      <x:c r="D114" s="6" t="s">
        <x:v>16</x:v>
      </x:c>
      <x:c r="E114" s="6" t="s">
        <x:v>638</x:v>
      </x:c>
      <x:c r="F114" s="6" t="s">
        <x:v>168</x:v>
      </x:c>
      <x:c r="G114" s="6">
        <x:v>6</x:v>
      </x:c>
      <x:c r="H114" s="6" t="s">
        <x:v>471</x:v>
      </x:c>
      <x:c r="I114" s="6" t="s">
        <x:v>664</x:v>
      </x:c>
      <x:c r="J114" s="6" t="s">
        <x:v>665</x:v>
      </x:c>
      <x:c r="K114" s="6" t="s">
        <x:v>666</x:v>
      </x:c>
      <x:c r="L114" s="6" t="s">
        <x:v>667</x:v>
      </x:c>
      <x:c r="M114" s="6" t="s">
        <x:v>668</x:v>
      </x:c>
    </x:row>
    <x:row r="115" ht="28.5" customHeight="1">
      <x:c r="A115" s="5"/>
      <x:c r="B115" s="5"/>
      <x:c r="C115" s="6" t="s">
        <x:v>14</x:v>
      </x:c>
      <x:c r="D115" s="6" t="s">
        <x:v>16</x:v>
      </x:c>
      <x:c r="E115" s="6" t="s">
        <x:v>638</x:v>
      </x:c>
      <x:c r="F115" s="6" t="s">
        <x:v>168</x:v>
      </x:c>
      <x:c r="G115" s="6">
        <x:v>7</x:v>
      </x:c>
      <x:c r="H115" s="6" t="s">
        <x:v>518</x:v>
      </x:c>
      <x:c r="I115" s="6" t="s">
        <x:v>669</x:v>
      </x:c>
      <x:c r="J115" s="6" t="s">
        <x:v>670</x:v>
      </x:c>
      <x:c r="K115" s="6" t="s">
        <x:v>671</x:v>
      </x:c>
      <x:c r="L115" s="6" t="s">
        <x:v>672</x:v>
      </x:c>
      <x:c r="M115" s="6" t="s">
        <x:v>673</x:v>
      </x:c>
    </x:row>
    <x:row r="116" ht="28.5" customHeight="1">
      <x:c r="A116" s="5"/>
      <x:c r="B116" s="5"/>
      <x:c r="C116" s="6" t="s">
        <x:v>14</x:v>
      </x:c>
      <x:c r="D116" s="6" t="s">
        <x:v>16</x:v>
      </x:c>
      <x:c r="E116" s="6" t="s">
        <x:v>638</x:v>
      </x:c>
      <x:c r="F116" s="6" t="s">
        <x:v>168</x:v>
      </x:c>
      <x:c r="G116" s="6">
        <x:v>8</x:v>
      </x:c>
      <x:c r="H116" s="6" t="s">
        <x:v>674</x:v>
      </x:c>
      <x:c r="I116" s="6" t="s">
        <x:v>675</x:v>
      </x:c>
      <x:c r="J116" s="6" t="s">
        <x:v>676</x:v>
      </x:c>
      <x:c r="K116" s="6" t="s">
        <x:v>677</x:v>
      </x:c>
      <x:c r="L116" s="6" t="s">
        <x:v>678</x:v>
      </x:c>
      <x:c r="M116" s="6" t="s">
        <x:v>679</x:v>
      </x:c>
    </x:row>
    <x:row r="117" ht="28.5" customHeight="1">
      <x:c r="A117" s="5"/>
      <x:c r="B117" s="5"/>
      <x:c r="C117" s="6" t="s">
        <x:v>14</x:v>
      </x:c>
      <x:c r="D117" s="6" t="s">
        <x:v>16</x:v>
      </x:c>
      <x:c r="E117" s="6" t="s">
        <x:v>680</x:v>
      </x:c>
      <x:c r="F117" s="6" t="s">
        <x:v>213</x:v>
      </x:c>
      <x:c r="G117" s="6">
        <x:v>1</x:v>
      </x:c>
      <x:c r="H117" s="6" t="s">
        <x:v>419</x:v>
      </x:c>
      <x:c r="I117" s="6" t="s">
        <x:v>681</x:v>
      </x:c>
      <x:c r="J117" s="6" t="s">
        <x:v>682</x:v>
      </x:c>
      <x:c r="K117" s="6" t="s">
        <x:v>683</x:v>
      </x:c>
      <x:c r="L117" s="6" t="s">
        <x:v>684</x:v>
      </x:c>
      <x:c r="M117" s="6" t="s">
        <x:v>685</x:v>
      </x:c>
    </x:row>
    <x:row r="118" ht="28.5" customHeight="1">
      <x:c r="A118" s="5"/>
      <x:c r="B118" s="5"/>
      <x:c r="C118" s="6" t="s">
        <x:v>14</x:v>
      </x:c>
      <x:c r="D118" s="6" t="s">
        <x:v>16</x:v>
      </x:c>
      <x:c r="E118" s="6" t="s">
        <x:v>680</x:v>
      </x:c>
      <x:c r="F118" s="6" t="s">
        <x:v>213</x:v>
      </x:c>
      <x:c r="G118" s="6">
        <x:v>2</x:v>
      </x:c>
      <x:c r="H118" s="6" t="s">
        <x:v>435</x:v>
      </x:c>
      <x:c r="I118" s="6" t="s">
        <x:v>686</x:v>
      </x:c>
      <x:c r="J118" s="6" t="s">
        <x:v>687</x:v>
      </x:c>
      <x:c r="K118" s="6" t="s">
        <x:v>688</x:v>
      </x:c>
      <x:c r="L118" s="6" t="s">
        <x:v>689</x:v>
      </x:c>
      <x:c r="M118" s="6" t="s">
        <x:v>690</x:v>
      </x:c>
    </x:row>
    <x:row r="119" ht="28.5" customHeight="1">
      <x:c r="A119" s="5"/>
      <x:c r="B119" s="5"/>
      <x:c r="C119" s="6" t="s">
        <x:v>14</x:v>
      </x:c>
      <x:c r="D119" s="6" t="s">
        <x:v>16</x:v>
      </x:c>
      <x:c r="E119" s="6" t="s">
        <x:v>680</x:v>
      </x:c>
      <x:c r="F119" s="6" t="s">
        <x:v>213</x:v>
      </x:c>
      <x:c r="G119" s="6">
        <x:v>3</x:v>
      </x:c>
      <x:c r="H119" s="6" t="s">
        <x:v>560</x:v>
      </x:c>
      <x:c r="I119" s="6" t="s">
        <x:v>691</x:v>
      </x:c>
      <x:c r="J119" s="6" t="s">
        <x:v>692</x:v>
      </x:c>
      <x:c r="K119" s="6" t="s">
        <x:v>693</x:v>
      </x:c>
      <x:c r="L119" s="6" t="s">
        <x:v>694</x:v>
      </x:c>
      <x:c r="M119" s="6" t="s">
        <x:v>695</x:v>
      </x:c>
    </x:row>
    <x:row r="120" ht="28.5" customHeight="1">
      <x:c r="A120" s="5"/>
      <x:c r="B120" s="5"/>
      <x:c r="C120" s="6" t="s">
        <x:v>14</x:v>
      </x:c>
      <x:c r="D120" s="6" t="s">
        <x:v>16</x:v>
      </x:c>
      <x:c r="E120" s="6" t="s">
        <x:v>680</x:v>
      </x:c>
      <x:c r="F120" s="6" t="s">
        <x:v>213</x:v>
      </x:c>
      <x:c r="G120" s="6">
        <x:v>4</x:v>
      </x:c>
      <x:c r="H120" s="6" t="s">
        <x:v>547</x:v>
      </x:c>
      <x:c r="I120" s="6" t="s">
        <x:v>696</x:v>
      </x:c>
      <x:c r="J120" s="6" t="s">
        <x:v>697</x:v>
      </x:c>
      <x:c r="K120" s="6" t="s">
        <x:v>698</x:v>
      </x:c>
      <x:c r="L120" s="6" t="s">
        <x:v>699</x:v>
      </x:c>
      <x:c r="M120" s="6" t="s">
        <x:v>700</x:v>
      </x:c>
    </x:row>
    <x:row r="121" ht="28.5" customHeight="1">
      <x:c r="A121" s="5"/>
      <x:c r="B121" s="5"/>
      <x:c r="C121" s="6" t="s">
        <x:v>14</x:v>
      </x:c>
      <x:c r="D121" s="6" t="s">
        <x:v>16</x:v>
      </x:c>
      <x:c r="E121" s="6" t="s">
        <x:v>680</x:v>
      </x:c>
      <x:c r="F121" s="6" t="s">
        <x:v>213</x:v>
      </x:c>
      <x:c r="G121" s="6">
        <x:v>5</x:v>
      </x:c>
      <x:c r="H121" s="6" t="s">
        <x:v>505</x:v>
      </x:c>
      <x:c r="I121" s="6" t="s">
        <x:v>701</x:v>
      </x:c>
      <x:c r="J121" s="6" t="s">
        <x:v>702</x:v>
      </x:c>
      <x:c r="K121" s="6" t="s">
        <x:v>703</x:v>
      </x:c>
      <x:c r="L121" s="6" t="s">
        <x:v>704</x:v>
      </x:c>
      <x:c r="M121" s="6" t="s">
        <x:v>705</x:v>
      </x:c>
    </x:row>
    <x:row r="122" ht="28.5" customHeight="1">
      <x:c r="A122" s="5"/>
      <x:c r="B122" s="5"/>
      <x:c r="C122" s="6" t="s">
        <x:v>14</x:v>
      </x:c>
      <x:c r="D122" s="6" t="s">
        <x:v>16</x:v>
      </x:c>
      <x:c r="E122" s="6" t="s">
        <x:v>680</x:v>
      </x:c>
      <x:c r="F122" s="6" t="s">
        <x:v>213</x:v>
      </x:c>
      <x:c r="G122" s="6">
        <x:v>6</x:v>
      </x:c>
      <x:c r="H122" s="6" t="s">
        <x:v>471</x:v>
      </x:c>
      <x:c r="I122" s="6" t="s">
        <x:v>706</x:v>
      </x:c>
      <x:c r="J122" s="6" t="s">
        <x:v>707</x:v>
      </x:c>
      <x:c r="K122" s="6" t="s">
        <x:v>708</x:v>
      </x:c>
      <x:c r="L122" s="6" t="s">
        <x:v>709</x:v>
      </x:c>
      <x:c r="M122" s="6" t="s">
        <x:v>710</x:v>
      </x:c>
    </x:row>
    <x:row r="123" ht="28.5" customHeight="1">
      <x:c r="A123" s="5"/>
      <x:c r="B123" s="5"/>
      <x:c r="C123" s="6" t="s">
        <x:v>14</x:v>
      </x:c>
      <x:c r="D123" s="6" t="s">
        <x:v>16</x:v>
      </x:c>
      <x:c r="E123" s="6" t="s">
        <x:v>680</x:v>
      </x:c>
      <x:c r="F123" s="6" t="s">
        <x:v>213</x:v>
      </x:c>
      <x:c r="G123" s="6">
        <x:v>7</x:v>
      </x:c>
      <x:c r="H123" s="6" t="s">
        <x:v>482</x:v>
      </x:c>
      <x:c r="I123" s="6" t="s">
        <x:v>711</x:v>
      </x:c>
      <x:c r="J123" s="6" t="s">
        <x:v>712</x:v>
      </x:c>
      <x:c r="K123" s="6" t="s">
        <x:v>713</x:v>
      </x:c>
      <x:c r="L123" s="6" t="s">
        <x:v>714</x:v>
      </x:c>
      <x:c r="M123" s="6" t="s">
        <x:v>715</x:v>
      </x:c>
    </x:row>
    <x:row r="124" ht="28.5" customHeight="1">
      <x:c r="A124" s="5"/>
      <x:c r="B124" s="5"/>
      <x:c r="C124" s="6" t="s">
        <x:v>14</x:v>
      </x:c>
      <x:c r="D124" s="6" t="s">
        <x:v>16</x:v>
      </x:c>
      <x:c r="E124" s="6" t="s">
        <x:v>680</x:v>
      </x:c>
      <x:c r="F124" s="6" t="s">
        <x:v>213</x:v>
      </x:c>
      <x:c r="G124" s="6">
        <x:v>8</x:v>
      </x:c>
      <x:c r="H124" s="6" t="s">
        <x:v>458</x:v>
      </x:c>
      <x:c r="I124" s="6" t="s">
        <x:v>351</x:v>
      </x:c>
      <x:c r="J124" s="6" t="s">
        <x:v>716</x:v>
      </x:c>
      <x:c r="K124" s="6" t="s">
        <x:v>717</x:v>
      </x:c>
      <x:c r="L124" s="6" t="s">
        <x:v>718</x:v>
      </x:c>
      <x:c r="M124" s="6" t="s">
        <x:v>719</x:v>
      </x:c>
    </x:row>
    <x:row r="125" ht="28.5" customHeight="1">
      <x:c r="A125" s="5"/>
      <x:c r="B125" s="5"/>
      <x:c r="C125" s="6" t="s">
        <x:v>14</x:v>
      </x:c>
      <x:c r="D125" s="6" t="s">
        <x:v>16</x:v>
      </x:c>
      <x:c r="E125" s="6" t="s">
        <x:v>720</x:v>
      </x:c>
      <x:c r="F125" s="6" t="s">
        <x:v>294</x:v>
      </x:c>
      <x:c r="G125" s="6">
        <x:v>1</x:v>
      </x:c>
      <x:c r="H125" s="6" t="s">
        <x:v>471</x:v>
      </x:c>
      <x:c r="I125" s="6" t="s">
        <x:v>721</x:v>
      </x:c>
      <x:c r="J125" s="6" t="s">
        <x:v>722</x:v>
      </x:c>
      <x:c r="K125" s="6" t="s">
        <x:v>723</x:v>
      </x:c>
      <x:c r="L125" s="6" t="s">
        <x:v>724</x:v>
      </x:c>
      <x:c r="M125" s="6" t="s">
        <x:v>725</x:v>
      </x:c>
    </x:row>
    <x:row r="126" ht="28.5" customHeight="1">
      <x:c r="A126" s="5"/>
      <x:c r="B126" s="5"/>
      <x:c r="C126" s="6" t="s">
        <x:v>14</x:v>
      </x:c>
      <x:c r="D126" s="6" t="s">
        <x:v>16</x:v>
      </x:c>
      <x:c r="E126" s="6" t="s">
        <x:v>720</x:v>
      </x:c>
      <x:c r="F126" s="6" t="s">
        <x:v>294</x:v>
      </x:c>
      <x:c r="G126" s="6">
        <x:v>2</x:v>
      </x:c>
      <x:c r="H126" s="6" t="s">
        <x:v>465</x:v>
      </x:c>
      <x:c r="I126" s="6" t="s">
        <x:v>726</x:v>
      </x:c>
      <x:c r="J126" s="6" t="s">
        <x:v>727</x:v>
      </x:c>
      <x:c r="K126" s="6" t="s">
        <x:v>728</x:v>
      </x:c>
      <x:c r="L126" s="6" t="s">
        <x:v>729</x:v>
      </x:c>
      <x:c r="M126" s="6" t="s">
        <x:v>730</x:v>
      </x:c>
    </x:row>
    <x:row r="127" ht="28.5" customHeight="1">
      <x:c r="A127" s="5"/>
      <x:c r="B127" s="5"/>
      <x:c r="C127" s="6" t="s">
        <x:v>14</x:v>
      </x:c>
      <x:c r="D127" s="6" t="s">
        <x:v>16</x:v>
      </x:c>
      <x:c r="E127" s="6" t="s">
        <x:v>720</x:v>
      </x:c>
      <x:c r="F127" s="6" t="s">
        <x:v>294</x:v>
      </x:c>
      <x:c r="G127" s="6">
        <x:v>3</x:v>
      </x:c>
      <x:c r="H127" s="6" t="s">
        <x:v>465</x:v>
      </x:c>
      <x:c r="I127" s="6" t="s">
        <x:v>731</x:v>
      </x:c>
      <x:c r="J127" s="6" t="s">
        <x:v>732</x:v>
      </x:c>
      <x:c r="K127" s="6" t="s">
        <x:v>733</x:v>
      </x:c>
      <x:c r="L127" s="6" t="s">
        <x:v>734</x:v>
      </x:c>
      <x:c r="M127" s="6" t="s">
        <x:v>735</x:v>
      </x:c>
    </x:row>
    <x:row r="128" ht="28.5" customHeight="1">
      <x:c r="A128" s="5"/>
      <x:c r="B128" s="5"/>
      <x:c r="C128" s="6" t="s">
        <x:v>14</x:v>
      </x:c>
      <x:c r="D128" s="6" t="s">
        <x:v>16</x:v>
      </x:c>
      <x:c r="E128" s="6" t="s">
        <x:v>720</x:v>
      </x:c>
      <x:c r="F128" s="6" t="s">
        <x:v>294</x:v>
      </x:c>
      <x:c r="G128" s="6">
        <x:v>4</x:v>
      </x:c>
      <x:c r="H128" s="6" t="s">
        <x:v>560</x:v>
      </x:c>
      <x:c r="I128" s="6" t="s">
        <x:v>736</x:v>
      </x:c>
      <x:c r="J128" s="6" t="s">
        <x:v>737</x:v>
      </x:c>
      <x:c r="K128" s="6" t="s">
        <x:v>738</x:v>
      </x:c>
      <x:c r="L128" s="6" t="s">
        <x:v>739</x:v>
      </x:c>
      <x:c r="M128" s="6" t="s">
        <x:v>740</x:v>
      </x:c>
    </x:row>
    <x:row r="129" ht="28.5" customHeight="1">
      <x:c r="A129" s="5"/>
      <x:c r="B129" s="5"/>
      <x:c r="C129" s="6" t="s">
        <x:v>14</x:v>
      </x:c>
      <x:c r="D129" s="6" t="s">
        <x:v>16</x:v>
      </x:c>
      <x:c r="E129" s="6" t="s">
        <x:v>720</x:v>
      </x:c>
      <x:c r="F129" s="6" t="s">
        <x:v>294</x:v>
      </x:c>
      <x:c r="G129" s="6">
        <x:v>5</x:v>
      </x:c>
      <x:c r="H129" s="6" t="s">
        <x:v>505</x:v>
      </x:c>
      <x:c r="I129" s="6" t="s">
        <x:v>741</x:v>
      </x:c>
      <x:c r="J129" s="6" t="s">
        <x:v>742</x:v>
      </x:c>
      <x:c r="K129" s="6" t="s">
        <x:v>743</x:v>
      </x:c>
      <x:c r="L129" s="6" t="s">
        <x:v>744</x:v>
      </x:c>
      <x:c r="M129" s="6" t="s">
        <x:v>745</x:v>
      </x:c>
    </x:row>
    <x:row r="130" ht="28.5" customHeight="1">
      <x:c r="A130" s="5"/>
      <x:c r="B130" s="5"/>
      <x:c r="C130" s="6" t="s">
        <x:v>14</x:v>
      </x:c>
      <x:c r="D130" s="6" t="s">
        <x:v>16</x:v>
      </x:c>
      <x:c r="E130" s="6" t="s">
        <x:v>720</x:v>
      </x:c>
      <x:c r="F130" s="6" t="s">
        <x:v>294</x:v>
      </x:c>
      <x:c r="G130" s="6">
        <x:v>6</x:v>
      </x:c>
      <x:c r="H130" s="6" t="s">
        <x:v>435</x:v>
      </x:c>
      <x:c r="I130" s="6" t="s">
        <x:v>746</x:v>
      </x:c>
      <x:c r="J130" s="6" t="s">
        <x:v>747</x:v>
      </x:c>
      <x:c r="K130" s="6" t="s">
        <x:v>748</x:v>
      </x:c>
      <x:c r="L130" s="6" t="s">
        <x:v>749</x:v>
      </x:c>
      <x:c r="M130" s="6" t="s">
        <x:v>750</x:v>
      </x:c>
    </x:row>
    <x:row r="131" ht="28.5" customHeight="1">
      <x:c r="A131" s="5"/>
      <x:c r="B131" s="5"/>
      <x:c r="C131" s="6" t="s">
        <x:v>14</x:v>
      </x:c>
      <x:c r="D131" s="6" t="s">
        <x:v>16</x:v>
      </x:c>
      <x:c r="E131" s="6" t="s">
        <x:v>720</x:v>
      </x:c>
      <x:c r="F131" s="6" t="s">
        <x:v>294</x:v>
      </x:c>
      <x:c r="G131" s="6">
        <x:v>7</x:v>
      </x:c>
      <x:c r="H131" s="6" t="s">
        <x:v>560</x:v>
      </x:c>
      <x:c r="I131" s="6" t="s">
        <x:v>751</x:v>
      </x:c>
      <x:c r="J131" s="6" t="s">
        <x:v>752</x:v>
      </x:c>
      <x:c r="K131" s="6" t="s">
        <x:v>753</x:v>
      </x:c>
      <x:c r="L131" s="6" t="s">
        <x:v>754</x:v>
      </x:c>
      <x:c r="M131" s="6" t="s">
        <x:v>755</x:v>
      </x:c>
    </x:row>
    <x:row r="132" ht="28.5" customHeight="1">
      <x:c r="A132" s="5"/>
      <x:c r="B132" s="5"/>
      <x:c r="C132" s="6" t="s">
        <x:v>14</x:v>
      </x:c>
      <x:c r="D132" s="6" t="s">
        <x:v>16</x:v>
      </x:c>
      <x:c r="E132" s="6" t="s">
        <x:v>720</x:v>
      </x:c>
      <x:c r="F132" s="6" t="s">
        <x:v>294</x:v>
      </x:c>
      <x:c r="G132" s="6">
        <x:v>8</x:v>
      </x:c>
      <x:c r="H132" s="6" t="s">
        <x:v>458</x:v>
      </x:c>
      <x:c r="I132" s="6" t="s">
        <x:v>756</x:v>
      </x:c>
      <x:c r="J132" s="6" t="s">
        <x:v>757</x:v>
      </x:c>
      <x:c r="K132" s="6" t="s">
        <x:v>758</x:v>
      </x:c>
      <x:c r="L132" s="6" t="s">
        <x:v>759</x:v>
      </x:c>
      <x:c r="M132" s="6" t="s">
        <x:v>760</x:v>
      </x:c>
    </x:row>
    <x:row r="133" ht="28.5" customHeight="1">
      <x:c r="A133" s="5"/>
      <x:c r="B133" s="5"/>
      <x:c r="C133" s="6" t="s">
        <x:v>14</x:v>
      </x:c>
      <x:c r="D133" s="6" t="s">
        <x:v>16</x:v>
      </x:c>
      <x:c r="E133" s="6" t="s">
        <x:v>761</x:v>
      </x:c>
      <x:c r="F133" s="6" t="s">
        <x:v>294</x:v>
      </x:c>
      <x:c r="G133" s="6">
        <x:v>1</x:v>
      </x:c>
      <x:c r="H133" s="6" t="s">
        <x:v>762</x:v>
      </x:c>
      <x:c r="I133" s="6" t="s">
        <x:v>763</x:v>
      </x:c>
      <x:c r="J133" s="6" t="s">
        <x:v>764</x:v>
      </x:c>
      <x:c r="K133" s="6" t="s">
        <x:v>765</x:v>
      </x:c>
      <x:c r="L133" s="6" t="s">
        <x:v>766</x:v>
      </x:c>
      <x:c r="M133" s="6" t="s">
        <x:v>767</x:v>
      </x:c>
    </x:row>
    <x:row r="134" ht="28.5" customHeight="1">
      <x:c r="A134" s="5"/>
      <x:c r="B134" s="5"/>
      <x:c r="C134" s="6" t="s">
        <x:v>14</x:v>
      </x:c>
      <x:c r="D134" s="6" t="s">
        <x:v>16</x:v>
      </x:c>
      <x:c r="E134" s="6" t="s">
        <x:v>761</x:v>
      </x:c>
      <x:c r="F134" s="6" t="s">
        <x:v>294</x:v>
      </x:c>
      <x:c r="G134" s="6">
        <x:v>2</x:v>
      </x:c>
      <x:c r="H134" s="6" t="s">
        <x:v>425</x:v>
      </x:c>
      <x:c r="I134" s="6" t="s">
        <x:v>340</x:v>
      </x:c>
      <x:c r="J134" s="6" t="s">
        <x:v>768</x:v>
      </x:c>
      <x:c r="K134" s="6" t="s">
        <x:v>427</x:v>
      </x:c>
      <x:c r="L134" s="6" t="s">
        <x:v>428</x:v>
      </x:c>
      <x:c r="M134" s="6" t="s">
        <x:v>769</x:v>
      </x:c>
    </x:row>
    <x:row r="135" ht="28.5" customHeight="1">
      <x:c r="A135" s="5"/>
      <x:c r="B135" s="5"/>
      <x:c r="C135" s="6" t="s">
        <x:v>14</x:v>
      </x:c>
      <x:c r="D135" s="6" t="s">
        <x:v>16</x:v>
      </x:c>
      <x:c r="E135" s="6" t="s">
        <x:v>761</x:v>
      </x:c>
      <x:c r="F135" s="6" t="s">
        <x:v>294</x:v>
      </x:c>
      <x:c r="G135" s="6">
        <x:v>3</x:v>
      </x:c>
      <x:c r="H135" s="6" t="s">
        <x:v>658</x:v>
      </x:c>
      <x:c r="I135" s="6" t="s">
        <x:v>770</x:v>
      </x:c>
      <x:c r="J135" s="6" t="s">
        <x:v>771</x:v>
      </x:c>
      <x:c r="K135" s="6" t="s">
        <x:v>772</x:v>
      </x:c>
      <x:c r="L135" s="6" t="s">
        <x:v>773</x:v>
      </x:c>
      <x:c r="M135" s="6" t="s">
        <x:v>774</x:v>
      </x:c>
    </x:row>
    <x:row r="136" ht="28.5" customHeight="1">
      <x:c r="A136" s="5"/>
      <x:c r="B136" s="5"/>
      <x:c r="C136" s="6" t="s">
        <x:v>14</x:v>
      </x:c>
      <x:c r="D136" s="6" t="s">
        <x:v>16</x:v>
      </x:c>
      <x:c r="E136" s="6" t="s">
        <x:v>761</x:v>
      </x:c>
      <x:c r="F136" s="6" t="s">
        <x:v>294</x:v>
      </x:c>
      <x:c r="G136" s="6">
        <x:v>4</x:v>
      </x:c>
      <x:c r="H136" s="6" t="s">
        <x:v>775</x:v>
      </x:c>
      <x:c r="I136" s="6" t="s">
        <x:v>776</x:v>
      </x:c>
      <x:c r="J136" s="6" t="s">
        <x:v>777</x:v>
      </x:c>
      <x:c r="K136" s="6" t="s">
        <x:v>778</x:v>
      </x:c>
      <x:c r="L136" s="6" t="s">
        <x:v>779</x:v>
      </x:c>
      <x:c r="M136" s="6" t="s">
        <x:v>780</x:v>
      </x:c>
    </x:row>
    <x:row r="137" ht="28.5" customHeight="1">
      <x:c r="A137" s="5"/>
      <x:c r="B137" s="5"/>
      <x:c r="C137" s="6" t="s">
        <x:v>14</x:v>
      </x:c>
      <x:c r="D137" s="6" t="s">
        <x:v>16</x:v>
      </x:c>
      <x:c r="E137" s="6" t="s">
        <x:v>761</x:v>
      </x:c>
      <x:c r="F137" s="6" t="s">
        <x:v>294</x:v>
      </x:c>
      <x:c r="G137" s="6">
        <x:v>5</x:v>
      </x:c>
      <x:c r="H137" s="6" t="s">
        <x:v>471</x:v>
      </x:c>
      <x:c r="I137" s="6" t="s">
        <x:v>781</x:v>
      </x:c>
      <x:c r="J137" s="6" t="s">
        <x:v>782</x:v>
      </x:c>
      <x:c r="K137" s="6" t="s">
        <x:v>783</x:v>
      </x:c>
      <x:c r="L137" s="6" t="s">
        <x:v>784</x:v>
      </x:c>
      <x:c r="M137" s="6" t="s">
        <x:v>785</x:v>
      </x:c>
    </x:row>
    <x:row r="138" ht="28.5" customHeight="1">
      <x:c r="A138" s="5"/>
      <x:c r="B138" s="5"/>
      <x:c r="C138" s="6" t="s">
        <x:v>14</x:v>
      </x:c>
      <x:c r="D138" s="6" t="s">
        <x:v>16</x:v>
      </x:c>
      <x:c r="E138" s="6" t="s">
        <x:v>761</x:v>
      </x:c>
      <x:c r="F138" s="6" t="s">
        <x:v>294</x:v>
      </x:c>
      <x:c r="G138" s="6">
        <x:v>6</x:v>
      </x:c>
      <x:c r="H138" s="6" t="s">
        <x:v>518</x:v>
      </x:c>
      <x:c r="I138" s="6" t="s">
        <x:v>786</x:v>
      </x:c>
      <x:c r="J138" s="6" t="s">
        <x:v>787</x:v>
      </x:c>
      <x:c r="K138" s="6" t="s">
        <x:v>788</x:v>
      </x:c>
      <x:c r="L138" s="6" t="s">
        <x:v>789</x:v>
      </x:c>
      <x:c r="M138" s="6" t="s">
        <x:v>790</x:v>
      </x:c>
    </x:row>
    <x:row r="139" ht="28.5" customHeight="1">
      <x:c r="A139" s="5"/>
      <x:c r="B139" s="5"/>
      <x:c r="C139" s="6" t="s">
        <x:v>14</x:v>
      </x:c>
      <x:c r="D139" s="6" t="s">
        <x:v>16</x:v>
      </x:c>
      <x:c r="E139" s="6" t="s">
        <x:v>761</x:v>
      </x:c>
      <x:c r="F139" s="6" t="s">
        <x:v>294</x:v>
      </x:c>
      <x:c r="G139" s="6">
        <x:v>7</x:v>
      </x:c>
      <x:c r="H139" s="6" t="s">
        <x:v>791</x:v>
      </x:c>
      <x:c r="I139" s="6" t="s">
        <x:v>792</x:v>
      </x:c>
      <x:c r="J139" s="6" t="s">
        <x:v>793</x:v>
      </x:c>
      <x:c r="K139" s="6" t="s">
        <x:v>794</x:v>
      </x:c>
      <x:c r="L139" s="6" t="s">
        <x:v>795</x:v>
      </x:c>
      <x:c r="M139" s="6" t="s">
        <x:v>796</x:v>
      </x:c>
    </x:row>
    <x:row r="140" ht="28.5" customHeight="1">
      <x:c r="A140" s="5"/>
      <x:c r="B140" s="5"/>
      <x:c r="C140" s="6" t="s">
        <x:v>14</x:v>
      </x:c>
      <x:c r="D140" s="6" t="s">
        <x:v>16</x:v>
      </x:c>
      <x:c r="E140" s="6" t="s">
        <x:v>761</x:v>
      </x:c>
      <x:c r="F140" s="6" t="s">
        <x:v>294</x:v>
      </x:c>
      <x:c r="G140" s="6">
        <x:v>8</x:v>
      </x:c>
      <x:c r="H140" s="6" t="s">
        <x:v>580</x:v>
      </x:c>
      <x:c r="I140" s="6" t="s">
        <x:v>797</x:v>
      </x:c>
      <x:c r="J140" s="6" t="s">
        <x:v>798</x:v>
      </x:c>
      <x:c r="K140" s="6" t="s">
        <x:v>799</x:v>
      </x:c>
      <x:c r="L140" s="6" t="s">
        <x:v>800</x:v>
      </x:c>
      <x:c r="M140" s="6" t="s">
        <x:v>801</x:v>
      </x:c>
    </x:row>
    <x:row r="141" ht="28.5" customHeight="1">
      <x:c r="A141" s="5"/>
      <x:c r="B141" s="5"/>
      <x:c r="C141" s="6" t="s">
        <x:v>14</x:v>
      </x:c>
      <x:c r="D141" s="6" t="s">
        <x:v>16</x:v>
      </x:c>
      <x:c r="E141" s="6" t="s">
        <x:v>802</x:v>
      </x:c>
      <x:c r="F141" s="6" t="s">
        <x:v>294</x:v>
      </x:c>
      <x:c r="G141" s="6">
        <x:v>1</x:v>
      </x:c>
      <x:c r="H141" s="6" t="s">
        <x:v>803</x:v>
      </x:c>
      <x:c r="I141" s="6" t="s">
        <x:v>804</x:v>
      </x:c>
      <x:c r="J141" s="6" t="s">
        <x:v>805</x:v>
      </x:c>
      <x:c r="K141" s="6" t="s">
        <x:v>806</x:v>
      </x:c>
      <x:c r="L141" s="6" t="s">
        <x:v>807</x:v>
      </x:c>
      <x:c r="M141" s="6" t="s">
        <x:v>808</x:v>
      </x:c>
    </x:row>
    <x:row r="142" ht="28.5" customHeight="1">
      <x:c r="A142" s="5"/>
      <x:c r="B142" s="5"/>
      <x:c r="C142" s="6" t="s">
        <x:v>14</x:v>
      </x:c>
      <x:c r="D142" s="6" t="s">
        <x:v>16</x:v>
      </x:c>
      <x:c r="E142" s="6" t="s">
        <x:v>802</x:v>
      </x:c>
      <x:c r="F142" s="6" t="s">
        <x:v>294</x:v>
      </x:c>
      <x:c r="G142" s="6">
        <x:v>2</x:v>
      </x:c>
      <x:c r="H142" s="6" t="s">
        <x:v>809</x:v>
      </x:c>
      <x:c r="I142" s="6" t="s">
        <x:v>810</x:v>
      </x:c>
      <x:c r="J142" s="6" t="s">
        <x:v>811</x:v>
      </x:c>
      <x:c r="K142" s="6" t="s">
        <x:v>812</x:v>
      </x:c>
      <x:c r="L142" s="6" t="s">
        <x:v>813</x:v>
      </x:c>
      <x:c r="M142" s="6" t="s">
        <x:v>814</x:v>
      </x:c>
    </x:row>
    <x:row r="143" ht="28.5" customHeight="1">
      <x:c r="A143" s="5"/>
      <x:c r="B143" s="5"/>
      <x:c r="C143" s="6" t="s">
        <x:v>14</x:v>
      </x:c>
      <x:c r="D143" s="6" t="s">
        <x:v>16</x:v>
      </x:c>
      <x:c r="E143" s="6" t="s">
        <x:v>802</x:v>
      </x:c>
      <x:c r="F143" s="6" t="s">
        <x:v>294</x:v>
      </x:c>
      <x:c r="G143" s="6">
        <x:v>3</x:v>
      </x:c>
      <x:c r="H143" s="6" t="s">
        <x:v>547</x:v>
      </x:c>
      <x:c r="I143" s="6" t="s">
        <x:v>815</x:v>
      </x:c>
      <x:c r="J143" s="6" t="s">
        <x:v>816</x:v>
      </x:c>
      <x:c r="K143" s="6" t="s">
        <x:v>817</x:v>
      </x:c>
      <x:c r="L143" s="6" t="s">
        <x:v>818</x:v>
      </x:c>
      <x:c r="M143" s="6" t="s">
        <x:v>819</x:v>
      </x:c>
    </x:row>
    <x:row r="144" ht="28.5" customHeight="1">
      <x:c r="A144" s="5"/>
      <x:c r="B144" s="5"/>
      <x:c r="C144" s="6" t="s">
        <x:v>14</x:v>
      </x:c>
      <x:c r="D144" s="6" t="s">
        <x:v>16</x:v>
      </x:c>
      <x:c r="E144" s="6" t="s">
        <x:v>802</x:v>
      </x:c>
      <x:c r="F144" s="6" t="s">
        <x:v>294</x:v>
      </x:c>
      <x:c r="G144" s="6">
        <x:v>4</x:v>
      </x:c>
      <x:c r="H144" s="6" t="s">
        <x:v>465</x:v>
      </x:c>
      <x:c r="I144" s="6" t="s">
        <x:v>820</x:v>
      </x:c>
      <x:c r="J144" s="6" t="s">
        <x:v>821</x:v>
      </x:c>
      <x:c r="K144" s="6" t="s">
        <x:v>822</x:v>
      </x:c>
      <x:c r="L144" s="6" t="s">
        <x:v>823</x:v>
      </x:c>
      <x:c r="M144" s="6" t="s">
        <x:v>824</x:v>
      </x:c>
    </x:row>
    <x:row r="145" ht="28.5" customHeight="1">
      <x:c r="A145" s="5"/>
      <x:c r="B145" s="5"/>
      <x:c r="C145" s="6" t="s">
        <x:v>14</x:v>
      </x:c>
      <x:c r="D145" s="6" t="s">
        <x:v>16</x:v>
      </x:c>
      <x:c r="E145" s="6" t="s">
        <x:v>802</x:v>
      </x:c>
      <x:c r="F145" s="6" t="s">
        <x:v>294</x:v>
      </x:c>
      <x:c r="G145" s="6">
        <x:v>5</x:v>
      </x:c>
      <x:c r="H145" s="6" t="s">
        <x:v>435</x:v>
      </x:c>
      <x:c r="I145" s="6" t="s">
        <x:v>686</x:v>
      </x:c>
      <x:c r="J145" s="6" t="s">
        <x:v>825</x:v>
      </x:c>
      <x:c r="K145" s="6" t="s">
        <x:v>826</x:v>
      </x:c>
      <x:c r="L145" s="6" t="s">
        <x:v>827</x:v>
      </x:c>
      <x:c r="M145" s="6" t="s">
        <x:v>828</x:v>
      </x:c>
    </x:row>
    <x:row r="146" ht="28.5" customHeight="1">
      <x:c r="A146" s="5"/>
      <x:c r="B146" s="5"/>
      <x:c r="C146" s="6" t="s">
        <x:v>14</x:v>
      </x:c>
      <x:c r="D146" s="6" t="s">
        <x:v>16</x:v>
      </x:c>
      <x:c r="E146" s="6" t="s">
        <x:v>802</x:v>
      </x:c>
      <x:c r="F146" s="6" t="s">
        <x:v>294</x:v>
      </x:c>
      <x:c r="G146" s="6">
        <x:v>6</x:v>
      </x:c>
      <x:c r="H146" s="6" t="s">
        <x:v>518</x:v>
      </x:c>
      <x:c r="I146" s="6" t="s">
        <x:v>519</x:v>
      </x:c>
      <x:c r="J146" s="6" t="s">
        <x:v>829</x:v>
      </x:c>
      <x:c r="K146" s="6" t="s">
        <x:v>830</x:v>
      </x:c>
      <x:c r="L146" s="6" t="s">
        <x:v>831</x:v>
      </x:c>
      <x:c r="M146" s="6" t="s">
        <x:v>832</x:v>
      </x:c>
    </x:row>
    <x:row r="147" ht="28.5" customHeight="1">
      <x:c r="A147" s="5"/>
      <x:c r="B147" s="5"/>
      <x:c r="C147" s="6" t="s">
        <x:v>14</x:v>
      </x:c>
      <x:c r="D147" s="6" t="s">
        <x:v>16</x:v>
      </x:c>
      <x:c r="E147" s="6" t="s">
        <x:v>802</x:v>
      </x:c>
      <x:c r="F147" s="6" t="s">
        <x:v>294</x:v>
      </x:c>
      <x:c r="G147" s="6">
        <x:v>7</x:v>
      </x:c>
      <x:c r="H147" s="6" t="s">
        <x:v>833</x:v>
      </x:c>
      <x:c r="I147" s="6" t="s">
        <x:v>834</x:v>
      </x:c>
      <x:c r="J147" s="6" t="s">
        <x:v>835</x:v>
      </x:c>
      <x:c r="K147" s="6" t="s">
        <x:v>836</x:v>
      </x:c>
      <x:c r="L147" s="6" t="s">
        <x:v>837</x:v>
      </x:c>
      <x:c r="M147" s="6" t="s">
        <x:v>838</x:v>
      </x:c>
    </x:row>
    <x:row r="148" ht="28.5" customHeight="1">
      <x:c r="A148" s="5"/>
      <x:c r="B148" s="5"/>
      <x:c r="C148" s="6" t="s">
        <x:v>14</x:v>
      </x:c>
      <x:c r="D148" s="6" t="s">
        <x:v>16</x:v>
      </x:c>
      <x:c r="E148" s="6" t="s">
        <x:v>802</x:v>
      </x:c>
      <x:c r="F148" s="6" t="s">
        <x:v>294</x:v>
      </x:c>
      <x:c r="G148" s="6">
        <x:v>8</x:v>
      </x:c>
      <x:c r="H148" s="6" t="s">
        <x:v>471</x:v>
      </x:c>
      <x:c r="I148" s="6" t="s">
        <x:v>839</x:v>
      </x:c>
      <x:c r="J148" s="6" t="s">
        <x:v>840</x:v>
      </x:c>
      <x:c r="K148" s="6" t="s">
        <x:v>841</x:v>
      </x:c>
      <x:c r="L148" s="6" t="s">
        <x:v>842</x:v>
      </x:c>
      <x:c r="M148" s="6" t="s">
        <x:v>843</x:v>
      </x:c>
    </x:row>
    <x:row r="149" ht="28.5" customHeight="1">
      <x:c r="A149" s="5"/>
      <x:c r="B149" s="5"/>
      <x:c r="C149" s="6" t="s">
        <x:v>14</x:v>
      </x:c>
      <x:c r="D149" s="6" t="s">
        <x:v>16</x:v>
      </x:c>
      <x:c r="E149" s="6" t="s">
        <x:v>844</x:v>
      </x:c>
      <x:c r="F149" s="6" t="s">
        <x:v>294</x:v>
      </x:c>
      <x:c r="G149" s="6">
        <x:v>1</x:v>
      </x:c>
      <x:c r="H149" s="6" t="s">
        <x:v>518</x:v>
      </x:c>
      <x:c r="I149" s="6" t="s">
        <x:v>669</x:v>
      </x:c>
      <x:c r="J149" s="6" t="s">
        <x:v>845</x:v>
      </x:c>
      <x:c r="K149" s="6" t="s">
        <x:v>846</x:v>
      </x:c>
      <x:c r="L149" s="6" t="s">
        <x:v>847</x:v>
      </x:c>
      <x:c r="M149" s="6" t="s">
        <x:v>848</x:v>
      </x:c>
    </x:row>
    <x:row r="150" ht="28.5" customHeight="1">
      <x:c r="A150" s="5"/>
      <x:c r="B150" s="5"/>
      <x:c r="C150" s="6" t="s">
        <x:v>14</x:v>
      </x:c>
      <x:c r="D150" s="6" t="s">
        <x:v>16</x:v>
      </x:c>
      <x:c r="E150" s="6" t="s">
        <x:v>844</x:v>
      </x:c>
      <x:c r="F150" s="6" t="s">
        <x:v>294</x:v>
      </x:c>
      <x:c r="G150" s="6">
        <x:v>2</x:v>
      </x:c>
      <x:c r="H150" s="6" t="s">
        <x:v>524</x:v>
      </x:c>
      <x:c r="I150" s="6" t="s">
        <x:v>525</x:v>
      </x:c>
      <x:c r="J150" s="6" t="s">
        <x:v>849</x:v>
      </x:c>
      <x:c r="K150" s="6" t="s">
        <x:v>604</x:v>
      </x:c>
      <x:c r="L150" s="6" t="s">
        <x:v>605</x:v>
      </x:c>
      <x:c r="M150" s="6" t="s">
        <x:v>850</x:v>
      </x:c>
    </x:row>
    <x:row r="151" ht="28.5" customHeight="1">
      <x:c r="A151" s="5"/>
      <x:c r="B151" s="5"/>
      <x:c r="C151" s="6" t="s">
        <x:v>14</x:v>
      </x:c>
      <x:c r="D151" s="6" t="s">
        <x:v>16</x:v>
      </x:c>
      <x:c r="E151" s="6" t="s">
        <x:v>844</x:v>
      </x:c>
      <x:c r="F151" s="6" t="s">
        <x:v>294</x:v>
      </x:c>
      <x:c r="G151" s="6">
        <x:v>3</x:v>
      </x:c>
      <x:c r="H151" s="6" t="s">
        <x:v>488</x:v>
      </x:c>
      <x:c r="I151" s="6" t="s">
        <x:v>851</x:v>
      </x:c>
      <x:c r="J151" s="6" t="s">
        <x:v>852</x:v>
      </x:c>
      <x:c r="K151" s="6" t="s">
        <x:v>853</x:v>
      </x:c>
      <x:c r="L151" s="6" t="s">
        <x:v>854</x:v>
      </x:c>
      <x:c r="M151" s="6" t="s">
        <x:v>855</x:v>
      </x:c>
    </x:row>
    <x:row r="152" ht="28.5" customHeight="1">
      <x:c r="A152" s="5"/>
      <x:c r="B152" s="5"/>
      <x:c r="C152" s="6" t="s">
        <x:v>14</x:v>
      </x:c>
      <x:c r="D152" s="6" t="s">
        <x:v>16</x:v>
      </x:c>
      <x:c r="E152" s="6" t="s">
        <x:v>844</x:v>
      </x:c>
      <x:c r="F152" s="6" t="s">
        <x:v>294</x:v>
      </x:c>
      <x:c r="G152" s="6">
        <x:v>4</x:v>
      </x:c>
      <x:c r="H152" s="6" t="s">
        <x:v>856</x:v>
      </x:c>
      <x:c r="I152" s="6" t="s">
        <x:v>857</x:v>
      </x:c>
      <x:c r="J152" s="6" t="s">
        <x:v>858</x:v>
      </x:c>
      <x:c r="K152" s="6" t="s">
        <x:v>859</x:v>
      </x:c>
      <x:c r="L152" s="6" t="s">
        <x:v>860</x:v>
      </x:c>
      <x:c r="M152" s="6" t="s">
        <x:v>861</x:v>
      </x:c>
    </x:row>
    <x:row r="153" ht="28.5" customHeight="1">
      <x:c r="A153" s="5"/>
      <x:c r="B153" s="5"/>
      <x:c r="C153" s="6" t="s">
        <x:v>14</x:v>
      </x:c>
      <x:c r="D153" s="6" t="s">
        <x:v>16</x:v>
      </x:c>
      <x:c r="E153" s="6" t="s">
        <x:v>844</x:v>
      </x:c>
      <x:c r="F153" s="6" t="s">
        <x:v>294</x:v>
      </x:c>
      <x:c r="G153" s="6">
        <x:v>5</x:v>
      </x:c>
      <x:c r="H153" s="6" t="s">
        <x:v>580</x:v>
      </x:c>
      <x:c r="I153" s="6" t="s">
        <x:v>746</x:v>
      </x:c>
      <x:c r="J153" s="6" t="s">
        <x:v>862</x:v>
      </x:c>
      <x:c r="K153" s="6" t="s">
        <x:v>863</x:v>
      </x:c>
      <x:c r="L153" s="6" t="s">
        <x:v>864</x:v>
      </x:c>
      <x:c r="M153" s="6" t="s">
        <x:v>865</x:v>
      </x:c>
    </x:row>
    <x:row r="154" ht="28.5" customHeight="1">
      <x:c r="A154" s="5"/>
      <x:c r="B154" s="5"/>
      <x:c r="C154" s="6" t="s">
        <x:v>14</x:v>
      </x:c>
      <x:c r="D154" s="6" t="s">
        <x:v>16</x:v>
      </x:c>
      <x:c r="E154" s="6" t="s">
        <x:v>844</x:v>
      </x:c>
      <x:c r="F154" s="6" t="s">
        <x:v>294</x:v>
      </x:c>
      <x:c r="G154" s="6">
        <x:v>6</x:v>
      </x:c>
      <x:c r="H154" s="6" t="s">
        <x:v>499</x:v>
      </x:c>
      <x:c r="I154" s="6" t="s">
        <x:v>500</x:v>
      </x:c>
      <x:c r="J154" s="6" t="s">
        <x:v>866</x:v>
      </x:c>
      <x:c r="K154" s="6" t="s">
        <x:v>867</x:v>
      </x:c>
      <x:c r="L154" s="6" t="s">
        <x:v>868</x:v>
      </x:c>
      <x:c r="M154" s="6" t="s">
        <x:v>869</x:v>
      </x:c>
    </x:row>
    <x:row r="155" ht="28.5" customHeight="1">
      <x:c r="A155" s="5"/>
      <x:c r="B155" s="5"/>
      <x:c r="C155" s="6" t="s">
        <x:v>14</x:v>
      </x:c>
      <x:c r="D155" s="6" t="s">
        <x:v>16</x:v>
      </x:c>
      <x:c r="E155" s="6" t="s">
        <x:v>844</x:v>
      </x:c>
      <x:c r="F155" s="6" t="s">
        <x:v>294</x:v>
      </x:c>
      <x:c r="G155" s="6">
        <x:v>7</x:v>
      </x:c>
      <x:c r="H155" s="6" t="s">
        <x:v>870</x:v>
      </x:c>
      <x:c r="I155" s="6" t="s">
        <x:v>871</x:v>
      </x:c>
      <x:c r="J155" s="6" t="s">
        <x:v>872</x:v>
      </x:c>
      <x:c r="K155" s="6" t="s">
        <x:v>873</x:v>
      </x:c>
      <x:c r="L155" s="6" t="s">
        <x:v>874</x:v>
      </x:c>
      <x:c r="M155" s="6" t="s">
        <x:v>875</x:v>
      </x:c>
    </x:row>
    <x:row r="156" ht="28.5" customHeight="1">
      <x:c r="A156" s="5"/>
      <x:c r="B156" s="5"/>
      <x:c r="C156" s="6" t="s">
        <x:v>14</x:v>
      </x:c>
      <x:c r="D156" s="6" t="s">
        <x:v>16</x:v>
      </x:c>
      <x:c r="E156" s="6" t="s">
        <x:v>844</x:v>
      </x:c>
      <x:c r="F156" s="6" t="s">
        <x:v>294</x:v>
      </x:c>
      <x:c r="G156" s="6">
        <x:v>8</x:v>
      </x:c>
      <x:c r="H156" s="6" t="s">
        <x:v>419</x:v>
      </x:c>
      <x:c r="I156" s="6" t="s">
        <x:v>876</x:v>
      </x:c>
      <x:c r="J156" s="6" t="s">
        <x:v>877</x:v>
      </x:c>
      <x:c r="K156" s="6" t="s">
        <x:v>878</x:v>
      </x:c>
      <x:c r="L156" s="6" t="s">
        <x:v>879</x:v>
      </x:c>
      <x:c r="M156" s="6" t="s">
        <x:v>880</x:v>
      </x:c>
    </x:row>
    <x:row r="157" ht="28.5" customHeight="1">
      <x:c r="A157" s="5"/>
      <x:c r="B157" s="5"/>
      <x:c r="C157" s="6" t="s">
        <x:v>14</x:v>
      </x:c>
      <x:c r="D157" s="6" t="s">
        <x:v>16</x:v>
      </x:c>
      <x:c r="E157" s="6" t="s">
        <x:v>881</x:v>
      </x:c>
      <x:c r="F157" s="6" t="s">
        <x:v>376</x:v>
      </x:c>
      <x:c r="G157" s="6">
        <x:v>1</x:v>
      </x:c>
      <x:c r="H157" s="6" t="s">
        <x:v>499</x:v>
      </x:c>
      <x:c r="I157" s="6" t="s">
        <x:v>882</x:v>
      </x:c>
      <x:c r="J157" s="6" t="s">
        <x:v>883</x:v>
      </x:c>
      <x:c r="K157" s="6" t="s">
        <x:v>884</x:v>
      </x:c>
      <x:c r="L157" s="6" t="s">
        <x:v>885</x:v>
      </x:c>
      <x:c r="M157" s="6" t="s">
        <x:v>886</x:v>
      </x:c>
    </x:row>
    <x:row r="158" ht="28.5" customHeight="1">
      <x:c r="A158" s="5"/>
      <x:c r="B158" s="5"/>
      <x:c r="C158" s="6" t="s">
        <x:v>14</x:v>
      </x:c>
      <x:c r="D158" s="6" t="s">
        <x:v>16</x:v>
      </x:c>
      <x:c r="E158" s="6" t="s">
        <x:v>881</x:v>
      </x:c>
      <x:c r="F158" s="6" t="s">
        <x:v>376</x:v>
      </x:c>
      <x:c r="G158" s="6">
        <x:v>2</x:v>
      </x:c>
      <x:c r="H158" s="6" t="s">
        <x:v>524</x:v>
      </x:c>
      <x:c r="I158" s="6" t="s">
        <x:v>887</x:v>
      </x:c>
      <x:c r="J158" s="6" t="s">
        <x:v>888</x:v>
      </x:c>
      <x:c r="K158" s="6" t="s">
        <x:v>889</x:v>
      </x:c>
      <x:c r="L158" s="6" t="s">
        <x:v>890</x:v>
      </x:c>
      <x:c r="M158" s="6" t="s">
        <x:v>891</x:v>
      </x:c>
    </x:row>
    <x:row r="159" ht="28.5" customHeight="1">
      <x:c r="A159" s="5"/>
      <x:c r="B159" s="5"/>
      <x:c r="C159" s="6" t="s">
        <x:v>14</x:v>
      </x:c>
      <x:c r="D159" s="6" t="s">
        <x:v>16</x:v>
      </x:c>
      <x:c r="E159" s="6" t="s">
        <x:v>881</x:v>
      </x:c>
      <x:c r="F159" s="6" t="s">
        <x:v>376</x:v>
      </x:c>
      <x:c r="G159" s="6">
        <x:v>3</x:v>
      </x:c>
      <x:c r="H159" s="6" t="s">
        <x:v>580</x:v>
      </x:c>
      <x:c r="I159" s="6" t="s">
        <x:v>797</x:v>
      </x:c>
      <x:c r="J159" s="6" t="s">
        <x:v>892</x:v>
      </x:c>
      <x:c r="K159" s="6" t="s">
        <x:v>893</x:v>
      </x:c>
      <x:c r="L159" s="6" t="s">
        <x:v>894</x:v>
      </x:c>
      <x:c r="M159" s="6" t="s">
        <x:v>895</x:v>
      </x:c>
    </x:row>
    <x:row r="160" ht="28.5" customHeight="1">
      <x:c r="A160" s="5"/>
      <x:c r="B160" s="5"/>
      <x:c r="C160" s="6" t="s">
        <x:v>14</x:v>
      </x:c>
      <x:c r="D160" s="6" t="s">
        <x:v>16</x:v>
      </x:c>
      <x:c r="E160" s="6" t="s">
        <x:v>881</x:v>
      </x:c>
      <x:c r="F160" s="6" t="s">
        <x:v>376</x:v>
      </x:c>
      <x:c r="G160" s="6">
        <x:v>4</x:v>
      </x:c>
      <x:c r="H160" s="6" t="s">
        <x:v>775</x:v>
      </x:c>
      <x:c r="I160" s="6" t="s">
        <x:v>896</x:v>
      </x:c>
      <x:c r="J160" s="6" t="s">
        <x:v>897</x:v>
      </x:c>
      <x:c r="K160" s="6" t="s">
        <x:v>898</x:v>
      </x:c>
      <x:c r="L160" s="6" t="s">
        <x:v>899</x:v>
      </x:c>
      <x:c r="M160" s="6" t="s">
        <x:v>900</x:v>
      </x:c>
    </x:row>
    <x:row r="161" ht="28.5" customHeight="1">
      <x:c r="A161" s="5"/>
      <x:c r="B161" s="5"/>
      <x:c r="C161" s="6" t="s">
        <x:v>14</x:v>
      </x:c>
      <x:c r="D161" s="6" t="s">
        <x:v>16</x:v>
      </x:c>
      <x:c r="E161" s="6" t="s">
        <x:v>881</x:v>
      </x:c>
      <x:c r="F161" s="6" t="s">
        <x:v>376</x:v>
      </x:c>
      <x:c r="G161" s="6">
        <x:v>5</x:v>
      </x:c>
      <x:c r="H161" s="6" t="s">
        <x:v>518</x:v>
      </x:c>
      <x:c r="I161" s="6" t="s">
        <x:v>901</x:v>
      </x:c>
      <x:c r="J161" s="6" t="s">
        <x:v>902</x:v>
      </x:c>
      <x:c r="K161" s="6" t="s">
        <x:v>903</x:v>
      </x:c>
      <x:c r="L161" s="6" t="s">
        <x:v>904</x:v>
      </x:c>
      <x:c r="M161" s="6" t="s">
        <x:v>905</x:v>
      </x:c>
    </x:row>
    <x:row r="162" ht="28.5" customHeight="1">
      <x:c r="A162" s="5"/>
      <x:c r="B162" s="5"/>
      <x:c r="C162" s="6" t="s">
        <x:v>14</x:v>
      </x:c>
      <x:c r="D162" s="6" t="s">
        <x:v>16</x:v>
      </x:c>
      <x:c r="E162" s="6" t="s">
        <x:v>881</x:v>
      </x:c>
      <x:c r="F162" s="6" t="s">
        <x:v>376</x:v>
      </x:c>
      <x:c r="G162" s="6">
        <x:v>6</x:v>
      </x:c>
      <x:c r="H162" s="6" t="s">
        <x:v>856</x:v>
      </x:c>
      <x:c r="I162" s="6" t="s">
        <x:v>664</x:v>
      </x:c>
      <x:c r="J162" s="6" t="s">
        <x:v>906</x:v>
      </x:c>
      <x:c r="K162" s="6" t="s">
        <x:v>907</x:v>
      </x:c>
      <x:c r="L162" s="6" t="s">
        <x:v>908</x:v>
      </x:c>
      <x:c r="M162" s="6" t="s">
        <x:v>909</x:v>
      </x:c>
    </x:row>
    <x:row r="163" ht="28.5" customHeight="1">
      <x:c r="A163" s="5"/>
      <x:c r="B163" s="5"/>
      <x:c r="C163" s="6" t="s">
        <x:v>14</x:v>
      </x:c>
      <x:c r="D163" s="6" t="s">
        <x:v>16</x:v>
      </x:c>
      <x:c r="E163" s="6" t="s">
        <x:v>881</x:v>
      </x:c>
      <x:c r="F163" s="6" t="s">
        <x:v>376</x:v>
      </x:c>
      <x:c r="G163" s="6">
        <x:v>7</x:v>
      </x:c>
      <x:c r="H163" s="6" t="s">
        <x:v>465</x:v>
      </x:c>
      <x:c r="I163" s="6" t="s">
        <x:v>910</x:v>
      </x:c>
      <x:c r="J163" s="6" t="s">
        <x:v>911</x:v>
      </x:c>
      <x:c r="K163" s="6" t="s">
        <x:v>912</x:v>
      </x:c>
      <x:c r="L163" s="6" t="s">
        <x:v>913</x:v>
      </x:c>
      <x:c r="M163" s="6" t="s">
        <x:v>914</x:v>
      </x:c>
    </x:row>
    <x:row r="164" ht="28.5" customHeight="1">
      <x:c r="A164" s="5"/>
      <x:c r="B164" s="5"/>
      <x:c r="C164" s="6" t="s">
        <x:v>14</x:v>
      </x:c>
      <x:c r="D164" s="6" t="s">
        <x:v>16</x:v>
      </x:c>
      <x:c r="E164" s="6" t="s">
        <x:v>881</x:v>
      </x:c>
      <x:c r="F164" s="6" t="s">
        <x:v>376</x:v>
      </x:c>
      <x:c r="G164" s="6">
        <x:v>8</x:v>
      </x:c>
      <x:c r="H164" s="6" t="s">
        <x:v>425</x:v>
      </x:c>
      <x:c r="I164" s="6" t="s">
        <x:v>915</x:v>
      </x:c>
      <x:c r="J164" s="6" t="s">
        <x:v>916</x:v>
      </x:c>
      <x:c r="K164" s="6" t="s">
        <x:v>917</x:v>
      </x:c>
      <x:c r="L164" s="6" t="s">
        <x:v>918</x:v>
      </x:c>
      <x:c r="M164" s="6" t="s">
        <x:v>919</x:v>
      </x:c>
    </x:row>
    <x:row r="165" ht="28.5" customHeight="1">
      <x:c r="A165" s="5"/>
      <x:c r="B165" s="5"/>
      <x:c r="C165" s="6" t="s">
        <x:v>14</x:v>
      </x:c>
      <x:c r="D165" s="6" t="s">
        <x:v>16</x:v>
      </x:c>
      <x:c r="E165" s="6" t="s">
        <x:v>920</x:v>
      </x:c>
      <x:c r="F165" s="6" t="s">
        <x:v>376</x:v>
      </x:c>
      <x:c r="G165" s="6">
        <x:v>1</x:v>
      </x:c>
      <x:c r="H165" s="6" t="s">
        <x:v>809</x:v>
      </x:c>
      <x:c r="I165" s="6" t="s">
        <x:v>921</x:v>
      </x:c>
      <x:c r="J165" s="6" t="s">
        <x:v>922</x:v>
      </x:c>
      <x:c r="K165" s="6" t="s">
        <x:v>923</x:v>
      </x:c>
      <x:c r="L165" s="6" t="s">
        <x:v>924</x:v>
      </x:c>
      <x:c r="M165" s="6" t="s">
        <x:v>925</x:v>
      </x:c>
    </x:row>
    <x:row r="166" ht="28.5" customHeight="1">
      <x:c r="A166" s="5"/>
      <x:c r="B166" s="5"/>
      <x:c r="C166" s="6" t="s">
        <x:v>14</x:v>
      </x:c>
      <x:c r="D166" s="6" t="s">
        <x:v>16</x:v>
      </x:c>
      <x:c r="E166" s="6" t="s">
        <x:v>920</x:v>
      </x:c>
      <x:c r="F166" s="6" t="s">
        <x:v>376</x:v>
      </x:c>
      <x:c r="G166" s="6">
        <x:v>2</x:v>
      </x:c>
      <x:c r="H166" s="6" t="s">
        <x:v>419</x:v>
      </x:c>
      <x:c r="I166" s="6" t="s">
        <x:v>926</x:v>
      </x:c>
      <x:c r="J166" s="6" t="s">
        <x:v>927</x:v>
      </x:c>
      <x:c r="K166" s="6" t="s">
        <x:v>928</x:v>
      </x:c>
      <x:c r="L166" s="6" t="s">
        <x:v>929</x:v>
      </x:c>
      <x:c r="M166" s="6" t="s">
        <x:v>930</x:v>
      </x:c>
    </x:row>
    <x:row r="167" ht="28.5" customHeight="1">
      <x:c r="A167" s="5"/>
      <x:c r="B167" s="5"/>
      <x:c r="C167" s="6" t="s">
        <x:v>14</x:v>
      </x:c>
      <x:c r="D167" s="6" t="s">
        <x:v>16</x:v>
      </x:c>
      <x:c r="E167" s="6" t="s">
        <x:v>920</x:v>
      </x:c>
      <x:c r="F167" s="6" t="s">
        <x:v>376</x:v>
      </x:c>
      <x:c r="G167" s="6">
        <x:v>3</x:v>
      </x:c>
      <x:c r="H167" s="6" t="s">
        <x:v>452</x:v>
      </x:c>
      <x:c r="I167" s="6" t="s">
        <x:v>931</x:v>
      </x:c>
      <x:c r="J167" s="6" t="s">
        <x:v>932</x:v>
      </x:c>
      <x:c r="K167" s="6" t="s">
        <x:v>933</x:v>
      </x:c>
      <x:c r="L167" s="6" t="s">
        <x:v>934</x:v>
      </x:c>
      <x:c r="M167" s="6" t="s">
        <x:v>935</x:v>
      </x:c>
    </x:row>
    <x:row r="168" ht="28.5" customHeight="1">
      <x:c r="A168" s="5"/>
      <x:c r="B168" s="5"/>
      <x:c r="C168" s="6" t="s">
        <x:v>14</x:v>
      </x:c>
      <x:c r="D168" s="6" t="s">
        <x:v>16</x:v>
      </x:c>
      <x:c r="E168" s="6" t="s">
        <x:v>920</x:v>
      </x:c>
      <x:c r="F168" s="6" t="s">
        <x:v>376</x:v>
      </x:c>
      <x:c r="G168" s="6">
        <x:v>4</x:v>
      </x:c>
      <x:c r="H168" s="6" t="s">
        <x:v>419</x:v>
      </x:c>
      <x:c r="I168" s="6" t="s">
        <x:v>936</x:v>
      </x:c>
      <x:c r="J168" s="6" t="s">
        <x:v>937</x:v>
      </x:c>
      <x:c r="K168" s="6" t="s">
        <x:v>938</x:v>
      </x:c>
      <x:c r="L168" s="6" t="s">
        <x:v>939</x:v>
      </x:c>
      <x:c r="M168" s="6" t="s">
        <x:v>940</x:v>
      </x:c>
    </x:row>
    <x:row r="169" ht="28.5" customHeight="1">
      <x:c r="A169" s="5"/>
      <x:c r="B169" s="5"/>
      <x:c r="C169" s="6" t="s">
        <x:v>14</x:v>
      </x:c>
      <x:c r="D169" s="6" t="s">
        <x:v>16</x:v>
      </x:c>
      <x:c r="E169" s="6" t="s">
        <x:v>920</x:v>
      </x:c>
      <x:c r="F169" s="6" t="s">
        <x:v>376</x:v>
      </x:c>
      <x:c r="G169" s="6">
        <x:v>5</x:v>
      </x:c>
      <x:c r="H169" s="6" t="s">
        <x:v>547</x:v>
      </x:c>
      <x:c r="I169" s="6" t="s">
        <x:v>770</x:v>
      </x:c>
      <x:c r="J169" s="6" t="s">
        <x:v>941</x:v>
      </x:c>
      <x:c r="K169" s="6" t="s">
        <x:v>942</x:v>
      </x:c>
      <x:c r="L169" s="6" t="s">
        <x:v>943</x:v>
      </x:c>
      <x:c r="M169" s="6" t="s">
        <x:v>944</x:v>
      </x:c>
    </x:row>
    <x:row r="170" ht="28.5" customHeight="1">
      <x:c r="A170" s="5"/>
      <x:c r="B170" s="5"/>
      <x:c r="C170" s="6" t="s">
        <x:v>14</x:v>
      </x:c>
      <x:c r="D170" s="6" t="s">
        <x:v>16</x:v>
      </x:c>
      <x:c r="E170" s="6" t="s">
        <x:v>920</x:v>
      </x:c>
      <x:c r="F170" s="6" t="s">
        <x:v>376</x:v>
      </x:c>
      <x:c r="G170" s="6">
        <x:v>6</x:v>
      </x:c>
      <x:c r="H170" s="6" t="s">
        <x:v>419</x:v>
      </x:c>
      <x:c r="I170" s="6" t="s">
        <x:v>876</x:v>
      </x:c>
      <x:c r="J170" s="6" t="s">
        <x:v>945</x:v>
      </x:c>
      <x:c r="K170" s="6" t="s">
        <x:v>946</x:v>
      </x:c>
      <x:c r="L170" s="6" t="s">
        <x:v>947</x:v>
      </x:c>
      <x:c r="M170" s="6" t="s">
        <x:v>948</x:v>
      </x:c>
    </x:row>
    <x:row r="171" ht="28.5" customHeight="1">
      <x:c r="A171" s="5"/>
      <x:c r="B171" s="5"/>
      <x:c r="C171" s="6" t="s">
        <x:v>14</x:v>
      </x:c>
      <x:c r="D171" s="6" t="s">
        <x:v>16</x:v>
      </x:c>
      <x:c r="E171" s="6" t="s">
        <x:v>920</x:v>
      </x:c>
      <x:c r="F171" s="6" t="s">
        <x:v>376</x:v>
      </x:c>
      <x:c r="G171" s="6">
        <x:v>7</x:v>
      </x:c>
      <x:c r="H171" s="6" t="s">
        <x:v>949</x:v>
      </x:c>
      <x:c r="I171" s="6" t="s">
        <x:v>950</x:v>
      </x:c>
      <x:c r="J171" s="6" t="s">
        <x:v>951</x:v>
      </x:c>
      <x:c r="K171" s="6" t="s">
        <x:v>952</x:v>
      </x:c>
      <x:c r="L171" s="6" t="s">
        <x:v>953</x:v>
      </x:c>
      <x:c r="M171" s="6" t="s">
        <x:v>954</x:v>
      </x:c>
    </x:row>
    <x:row r="172" ht="28.5" customHeight="1">
      <x:c r="A172" s="5"/>
      <x:c r="B172" s="5"/>
      <x:c r="C172" s="6" t="s">
        <x:v>14</x:v>
      </x:c>
      <x:c r="D172" s="6" t="s">
        <x:v>16</x:v>
      </x:c>
      <x:c r="E172" s="6" t="s">
        <x:v>920</x:v>
      </x:c>
      <x:c r="F172" s="6" t="s">
        <x:v>376</x:v>
      </x:c>
      <x:c r="G172" s="6">
        <x:v>8</x:v>
      </x:c>
      <x:c r="H172" s="6" t="s">
        <x:v>955</x:v>
      </x:c>
      <x:c r="I172" s="6" t="s">
        <x:v>956</x:v>
      </x:c>
      <x:c r="J172" s="6" t="s">
        <x:v>957</x:v>
      </x:c>
      <x:c r="K172" s="6" t="s">
        <x:v>958</x:v>
      </x:c>
      <x:c r="L172" s="6" t="s">
        <x:v>959</x:v>
      </x:c>
      <x:c r="M172" s="6" t="s">
        <x:v>960</x:v>
      </x:c>
    </x:row>
  </x:sheetData>
  <x:mergeCells>
    <x:mergeCell ref="A1:M1"/>
    <x:mergeCell ref="A2:M2"/>
  </x:mergeCells>
  <x:dataValidations count="1">
    <x:dataValidation type="list" sqref="A5:A204">
      <x:formula1>"ADD"</x:formula1>
    </x:dataValidation>
  </x:dataValidations>
  <x:pageMargins left="0.7" right="0.7" top="0.75" bottom="0.75" header="0.3" footer="0.3"/>
</x:worksheet>
</file>

<file path=xl/worksheets/sheet5.xml><?xml version="1.0" encoding="utf-8"?>
<x:worksheet xmlns:x="http://schemas.openxmlformats.org/spreadsheetml/2006/main">
  <x:sheetViews>
    <x:sheetView showGridLines="0" workbookViewId="0"/>
  </x:sheetViews>
  <x:sheetFormatPr defaultColWidth="9" defaultRowHeight="14"/>
  <x:cols>
    <x:col min="1" max="1" width="15.630000114440918" hidden="0" customWidth="1"/>
    <x:col min="2" max="2" width="30" hidden="0" customWidth="1"/>
    <x:col min="3" max="3" width="15.630000114440918" hidden="0" customWidth="1"/>
    <x:col min="4" max="4" width="73.75" hidden="0" customWidth="1"/>
  </x:cols>
  <x:sheetData>
    <x:row r="1" ht="25.5" customHeight="1">
      <x:c r="A1" s="17" t="str">
        <x:v>Field Guide · only fields the Owner needs to enter or review</x:v>
      </x:c>
      <x:c r="B1" s="20"/>
      <x:c r="C1" s="20"/>
      <x:c r="D1" s="20"/>
    </x:row>
    <x:row r="2" ht="31.5" customHeight="1">
      <x:c r="A2" s="21" t="str">
        <x:v>蓝色 = 自动工作流冻结数据或只读派生名称；绿色 = Codex 英文草稿；黄色 = 用户输入或最终审核。机器草稿不限制人工结论，用户可以完全改写、删除重写或写无关内容。</x:v>
      </x:c>
      <x:c r="B2" s="21"/>
      <x:c r="C2" s="21"/>
      <x:c r="D2" s="21"/>
    </x:row>
    <x:row r="4" ht="24" customHeight="1">
      <x:c r="A4" s="25" t="str">
        <x:v>Sheet</x:v>
      </x:c>
      <x:c r="B4" s="25" t="str">
        <x:v>Field / Area</x:v>
      </x:c>
      <x:c r="C4" s="25" t="str">
        <x:v>Responsible</x:v>
      </x:c>
      <x:c r="D4" s="25" t="str">
        <x:v>How to use it</x:v>
      </x:c>
    </x:row>
    <x:row r="5" ht="43.5" customHeight="1">
      <x:c r="A5" s="31" t="str">
        <x:v>Review Control</x:v>
      </x:c>
      <x:c r="B5" s="31" t="str">
        <x:v>Top Copy / Feature / Chinese / English Review</x:v>
      </x:c>
      <x:c r="C5" s="26" t="str">
        <x:v>用户</x:v>
      </x:c>
      <x:c r="D5" s="31" t="str">
        <x:v>完成对应审核后改为 APPROVED；明确没有内容时使用 EMPTY APPROVED；不适用时使用 NOT APPLICABLE。</x:v>
      </x:c>
    </x:row>
    <x:row r="6" ht="43.5" customHeight="1">
      <x:c r="A6" s="31" t="str">
        <x:v>Landing Copy</x:v>
      </x:c>
      <x:c r="B6" s="31" t="str">
        <x:v>Review Result</x:v>
      </x:c>
      <x:c r="C6" s="26" t="str">
        <x:v>用户</x:v>
      </x:c>
      <x:c r="D6" s="31" t="str">
        <x:v>KEEP 保留；DROP 删除；PENDING 暂不完成；追加段落可用 ADD。</x:v>
      </x:c>
    </x:row>
    <x:row r="7" ht="43.5" customHeight="1">
      <x:c r="A7" s="31" t="str">
        <x:v>Landing Copy</x:v>
      </x:c>
      <x:c r="B7" s="31" t="str">
        <x:v>Order</x:v>
      </x:c>
      <x:c r="C7" s="26" t="str">
        <x:v>用户</x:v>
      </x:c>
      <x:c r="D7" s="31" t="str">
        <x:v>Standard 与 Modern 分别排列顶端段落；条数没有硬上限。该顺序同时成为 Feature 自动排序的来源。</x:v>
      </x:c>
    </x:row>
    <x:row r="8" ht="43.5" customHeight="1">
      <x:c r="A8" s="31" t="str">
        <x:v>Landing Copy</x:v>
      </x:c>
      <x:c r="B8" s="31" t="str">
        <x:v>Chinese Copy</x:v>
      </x:c>
      <x:c r="C8" s="26" t="str">
        <x:v>用户</x:v>
      </x:c>
      <x:c r="D8" s="31" t="str">
        <x:v>Landing 顶端正文；可完全改写。把 deck:xxxxxxxxxxxxxxxxxxxx 复制到想出现链接的准确位置；同一行多个链接按从左到右排序。</x:v>
      </x:c>
    </x:row>
    <x:row r="9" ht="43.5" customHeight="1">
      <x:c r="A9" s="31" t="str">
        <x:v>Landing Copy</x:v>
      </x:c>
      <x:c r="B9" s="31" t="str">
        <x:v>English Draft</x:v>
      </x:c>
      <x:c r="C9" s="26" t="str">
        <x:v>Codex</x:v>
      </x:c>
      <x:c r="D9" s="31" t="str">
        <x:v>P12-15C 根据用户最终中文试译；不会改动中文。</x:v>
      </x:c>
    </x:row>
    <x:row r="10" ht="43.5" customHeight="1">
      <x:c r="A10" s="31" t="str">
        <x:v>Landing Copy</x:v>
      </x:c>
      <x:c r="B10" s="31" t="str">
        <x:v>English Final</x:v>
      </x:c>
      <x:c r="C10" s="26" t="str">
        <x:v>用户</x:v>
      </x:c>
      <x:c r="D10" s="31" t="str">
        <x:v>最终英文正文；可改写或完全替换 Codex 草稿。</x:v>
      </x:c>
    </x:row>
    <x:row r="11" ht="43.5" customHeight="1">
      <x:c r="A11" s="31" t="str">
        <x:v>Landing Copy</x:v>
      </x:c>
      <x:c r="B11" s="31" t="str">
        <x:v>Deck references</x:v>
      </x:c>
      <x:c r="C11" s="26" t="str">
        <x:v>自动工作流</x:v>
      </x:c>
      <x:c r="D11" s="31" t="str">
        <x:v>同页列出正文所有套牌的日期、名次、套牌名、牌手、Deck Link ID、显示文字和网址；每个正文 Deck Link ID 都必须同时是 KEEP Feature。</x:v>
      </x:c>
    </x:row>
    <x:row r="12" ht="43.5" customHeight="1">
      <x:c r="A12" s="31" t="str">
        <x:v>Featured Decks</x:v>
      </x:c>
      <x:c r="B12" s="31" t="str">
        <x:v>Selection</x:v>
      </x:c>
      <x:c r="C12" s="26" t="str">
        <x:v>用户</x:v>
      </x:c>
      <x:c r="D12" s="31" t="str">
        <x:v>KEEP 保留底部 Feature；只要 Deck Link ID 仍出现在 KEEP 正文中就不能 DROP；新增项可用 ADD。</x:v>
      </x:c>
    </x:row>
    <x:row r="13" ht="43.5" customHeight="1">
      <x:c r="A13" s="31" t="str">
        <x:v>Featured Decks</x:v>
      </x:c>
      <x:c r="B13" s="31" t="str">
        <x:v>Category</x:v>
      </x:c>
      <x:c r="C13" s="26" t="str">
        <x:v>用户</x:v>
      </x:c>
      <x:c r="D13" s="31" t="str">
        <x:v>new_deck = 新套牌；new_technology = 新科技。可覆盖机器分组；页面始终先显示新套牌。</x:v>
      </x:c>
    </x:row>
    <x:row r="14" ht="43.5" customHeight="1">
      <x:c r="A14" s="31" t="str">
        <x:v>Featured Decks</x:v>
      </x:c>
      <x:c r="B14" s="31" t="str">
        <x:v>Deck Name EN / ZH / Name Status</x:v>
      </x:c>
      <x:c r="C14" s="26" t="str">
        <x:v>分类器 / Codex / 用户</x:v>
      </x:c>
      <x:c r="D14" s="31" t="str">
        <x:v>只读派生字段，不是每周标题输入。英文来自分类器身份；P12-15C 补齐并审核中文名称，完成前中文界面使用英文回退。</x:v>
      </x:c>
    </x:row>
    <x:row r="15" ht="43.5" customHeight="1">
      <x:c r="A15" s="31" t="str">
        <x:v>Featured Decks</x:v>
      </x:c>
      <x:c r="B15" s="31" t="str">
        <x:v>Automatic order</x:v>
      </x:c>
      <x:c r="C15" s="26" t="str">
        <x:v>自动工作流</x:v>
      </x:c>
      <x:c r="D15" s="31" t="str">
        <x:v>同一赛制先 new_deck 后 new_technology；类别内按 Landing 顶端 KEEP 正文的链接顺序，同一行从左到右；正文未出现者追加在类别末尾。表中不再填写 Feature Order。</x:v>
      </x:c>
    </x:row>
    <x:row r="16" ht="43.5" customHeight="1">
      <x:c r="A16" s="31" t="str">
        <x:v>Featured Decks</x:v>
      </x:c>
      <x:c r="B16" s="31" t="str">
        <x:v>Chinese Positioning</x:v>
      </x:c>
      <x:c r="C16" s="26" t="str">
        <x:v>用户</x:v>
      </x:c>
      <x:c r="D16" s="31" t="str">
        <x:v>底部精选套牌的中文说明；现有旧评论已原样保留。标题直接引用双语套牌名称，不需要每周填写。</x:v>
      </x:c>
    </x:row>
    <x:row r="17" ht="43.5" customHeight="1">
      <x:c r="A17" s="31" t="str">
        <x:v>Featured Decks</x:v>
      </x:c>
      <x:c r="B17" s="31" t="str">
        <x:v>Featured Card 1–4</x:v>
      </x:c>
      <x:c r="C17" s="26" t="str">
        <x:v>用户</x:v>
      </x:c>
      <x:c r="D17" s="31" t="str">
        <x:v>四张牌必须互不重复，并来自该行 Main Deck 或 Sideboard 的精确牌表。</x:v>
      </x:c>
    </x:row>
    <x:row r="18" ht="43.5" customHeight="1">
      <x:c r="A18" s="31" t="str">
        <x:v>Featured Decks</x:v>
      </x:c>
      <x:c r="B18" s="31" t="str">
        <x:v>English Draft / Final</x:v>
      </x:c>
      <x:c r="C18" s="26" t="str">
        <x:v>Codex / 用户</x:v>
      </x:c>
      <x:c r="D18" s="31" t="str">
        <x:v>Codex 在 P12-15C 试译定位说明，用户在 English Final 最终确认。</x:v>
      </x:c>
    </x:row>
    <x:row r="19" ht="43.5" customHeight="1">
      <x:c r="A19" s="31" t="str">
        <x:v>All Top 8</x:v>
      </x:c>
      <x:c r="B19" s="31" t="str">
        <x:v>Add to Featured? / Owner Note</x:v>
      </x:c>
      <x:c r="C19" s="26" t="str">
        <x:v>用户</x:v>
      </x:c>
      <x:c r="D19" s="31" t="str">
        <x:v>未预选牌表也可标为 ADD。如需在正文中使用该 Deck Link ID，必须同时将它加入 Featured Decks 并保留为 KEEP。</x:v>
      </x:c>
    </x:row>
  </x:sheetData>
  <x:mergeCells>
    <x:mergeCell ref="A1:D1"/>
    <x:mergeCell ref="A2:D2"/>
  </x:mergeCells>
  <x:pageMargins left="0.7" right="0.7" top="0.75" bottom="0.75" header="0.3" footer="0.3"/>
</x:worksheet>
</file>